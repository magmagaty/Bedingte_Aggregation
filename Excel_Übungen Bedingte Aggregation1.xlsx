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Export-Zusammenfassung" sheetId="1" r:id="rId5"/>
    <sheet name="Stammdaten" sheetId="2" r:id="rId6"/>
    <sheet name="Bewegungen" sheetId="3" r:id="rId7"/>
    <sheet name="Übungen" sheetId="4" r:id="rId8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<sst xmlns="http://schemas.openxmlformats.org/spreadsheetml/2006/main" uniqueCount="259">
  <si>
    <t>Dieses Dokument wurde aus Numbers exportiert und jede Tabelle in ein Excel-Arbeitsblatt umgewandelt. Alle anderen Objekte der einzelnen Numbers-Blätter wurden auf eigene Arbeitsblätter übertragen. Beachte, dass die Formelberechnungen in Excel möglicherweise anders sind.</t>
  </si>
  <si>
    <t>Name des Numbers-Blatts</t>
  </si>
  <si>
    <t>Numbers-Tabellenname</t>
  </si>
  <si>
    <t>Name des Excel-Arbeitsblatts</t>
  </si>
  <si>
    <t>Stammdaten</t>
  </si>
  <si>
    <t>Tabelle 1</t>
  </si>
  <si>
    <t>ArtikelID</t>
  </si>
  <si>
    <t>Artikelname</t>
  </si>
  <si>
    <t>Kategorie</t>
  </si>
  <si>
    <t>A001</t>
  </si>
  <si>
    <t>Wareneingang erfassen</t>
  </si>
  <si>
    <t>Lager</t>
  </si>
  <si>
    <t>A002</t>
  </si>
  <si>
    <t>Einlagerung buchen</t>
  </si>
  <si>
    <t>A003</t>
  </si>
  <si>
    <t>Bestand zählen</t>
  </si>
  <si>
    <t>A004</t>
  </si>
  <si>
    <t>Kommissionierung</t>
  </si>
  <si>
    <t>A005</t>
  </si>
  <si>
    <t>Umlagerung durchführen</t>
  </si>
  <si>
    <t>A006</t>
  </si>
  <si>
    <t>Inventur abschließen</t>
  </si>
  <si>
    <t>A007</t>
  </si>
  <si>
    <t>Versandschein erstellen</t>
  </si>
  <si>
    <t>Versand</t>
  </si>
  <si>
    <t>A008</t>
  </si>
  <si>
    <t>Paket verpacken</t>
  </si>
  <si>
    <t>A009</t>
  </si>
  <si>
    <t>Spediteur beauftragen</t>
  </si>
  <si>
    <t>A010</t>
  </si>
  <si>
    <t>Tracking aktualisieren</t>
  </si>
  <si>
    <t>A011</t>
  </si>
  <si>
    <t>Retoure annehmen</t>
  </si>
  <si>
    <t>A012</t>
  </si>
  <si>
    <t>Lieferschein prüfen</t>
  </si>
  <si>
    <t>A013</t>
  </si>
  <si>
    <t>Lagerhalle reinigen</t>
  </si>
  <si>
    <t>Reinigung</t>
  </si>
  <si>
    <t>A014</t>
  </si>
  <si>
    <t>Maschine säubern</t>
  </si>
  <si>
    <t>A015</t>
  </si>
  <si>
    <t>Arbeitsplatz reinigen</t>
  </si>
  <si>
    <t>A016</t>
  </si>
  <si>
    <t>Behälter spülen</t>
  </si>
  <si>
    <t>A017</t>
  </si>
  <si>
    <t>Filter wechseln</t>
  </si>
  <si>
    <t>A018</t>
  </si>
  <si>
    <t>Bodenreinigung</t>
  </si>
  <si>
    <t>A019</t>
  </si>
  <si>
    <t>Maschine warten</t>
  </si>
  <si>
    <t>Wartung</t>
  </si>
  <si>
    <t>A020</t>
  </si>
  <si>
    <t>Schmierung Anlage</t>
  </si>
  <si>
    <t>A021</t>
  </si>
  <si>
    <t>Sensor kalibrieren</t>
  </si>
  <si>
    <t>A022</t>
  </si>
  <si>
    <t>Ersatzteil tauschen</t>
  </si>
  <si>
    <t>A023</t>
  </si>
  <si>
    <t>Sicherheitsprüfung</t>
  </si>
  <si>
    <t>A024</t>
  </si>
  <si>
    <t>Software-Update</t>
  </si>
  <si>
    <t>A025</t>
  </si>
  <si>
    <t>Endkontrolle durchführen</t>
  </si>
  <si>
    <t>Produktion</t>
  </si>
  <si>
    <t>A026</t>
  </si>
  <si>
    <t>Teil montieren</t>
  </si>
  <si>
    <t>A027</t>
  </si>
  <si>
    <t>Etikett drucken</t>
  </si>
  <si>
    <t>A028</t>
  </si>
  <si>
    <t>Charge freigeben</t>
  </si>
  <si>
    <t>A029</t>
  </si>
  <si>
    <t>Qualitätsprobe ziehen</t>
  </si>
  <si>
    <t>A030</t>
  </si>
  <si>
    <t>Produktionsauftrag anlegen</t>
  </si>
  <si>
    <t>Bewegungen</t>
  </si>
  <si>
    <t>BewegungsID</t>
  </si>
  <si>
    <t>Abteilung</t>
  </si>
  <si>
    <t>Jahr</t>
  </si>
  <si>
    <t>Status</t>
  </si>
  <si>
    <t>Bearbeitungszeit_Min</t>
  </si>
  <si>
    <t>Menge</t>
  </si>
  <si>
    <t>Kategorie (Hilfsspalte – SVERWEIS einfügen)</t>
  </si>
  <si>
    <t>B0001</t>
  </si>
  <si>
    <t>Geschlossen</t>
  </si>
  <si>
    <r>
      <rPr>
        <sz val="14"/>
        <color indexed="8"/>
        <rFont val="Arial"/>
      </rPr>
      <t>Wartung</t>
    </r>
  </si>
  <si>
    <t>B0002</t>
  </si>
  <si>
    <t>B0003</t>
  </si>
  <si>
    <t>Offen</t>
  </si>
  <si>
    <r>
      <rPr>
        <sz val="14"/>
        <color indexed="8"/>
        <rFont val="Arial"/>
      </rPr>
      <t>Reinigung</t>
    </r>
  </si>
  <si>
    <t>B0004</t>
  </si>
  <si>
    <t>Qualitätssicherung</t>
  </si>
  <si>
    <r>
      <rPr>
        <sz val="14"/>
        <color indexed="8"/>
        <rFont val="Arial"/>
      </rPr>
      <t>Lager</t>
    </r>
  </si>
  <si>
    <t>B0005</t>
  </si>
  <si>
    <r>
      <rPr>
        <sz val="14"/>
        <color indexed="8"/>
        <rFont val="Arial"/>
      </rPr>
      <t>Versand</t>
    </r>
  </si>
  <si>
    <t>B0006</t>
  </si>
  <si>
    <r>
      <rPr>
        <sz val="14"/>
        <color indexed="8"/>
        <rFont val="Arial"/>
      </rPr>
      <t>Produktion</t>
    </r>
  </si>
  <si>
    <t>B0007</t>
  </si>
  <si>
    <t>B0008</t>
  </si>
  <si>
    <t>B0009</t>
  </si>
  <si>
    <t>B0010</t>
  </si>
  <si>
    <t>B0011</t>
  </si>
  <si>
    <t>B0012</t>
  </si>
  <si>
    <t>B0013</t>
  </si>
  <si>
    <t>B0014</t>
  </si>
  <si>
    <t>B0015</t>
  </si>
  <si>
    <t>B0016</t>
  </si>
  <si>
    <t>B0017</t>
  </si>
  <si>
    <t>B0018</t>
  </si>
  <si>
    <t>B0019</t>
  </si>
  <si>
    <t>B0020</t>
  </si>
  <si>
    <t>B0021</t>
  </si>
  <si>
    <t>B0022</t>
  </si>
  <si>
    <t>B0023</t>
  </si>
  <si>
    <t>B0024</t>
  </si>
  <si>
    <t>B0025</t>
  </si>
  <si>
    <t>B0026</t>
  </si>
  <si>
    <t>B0027</t>
  </si>
  <si>
    <t>Storniert</t>
  </si>
  <si>
    <t>B0028</t>
  </si>
  <si>
    <t>B0029</t>
  </si>
  <si>
    <t>B0030</t>
  </si>
  <si>
    <t>B0031</t>
  </si>
  <si>
    <t>B0032</t>
  </si>
  <si>
    <t>B0033</t>
  </si>
  <si>
    <t>B0034</t>
  </si>
  <si>
    <t>B0035</t>
  </si>
  <si>
    <t>B0036</t>
  </si>
  <si>
    <t>B0037</t>
  </si>
  <si>
    <t>B0038</t>
  </si>
  <si>
    <t>B0039</t>
  </si>
  <si>
    <t>B0040</t>
  </si>
  <si>
    <t>B0041</t>
  </si>
  <si>
    <t>B0042</t>
  </si>
  <si>
    <t>B0043</t>
  </si>
  <si>
    <t>B0044</t>
  </si>
  <si>
    <t>B0045</t>
  </si>
  <si>
    <t>B0046</t>
  </si>
  <si>
    <t>B0047</t>
  </si>
  <si>
    <t>B0048</t>
  </si>
  <si>
    <t>B0049</t>
  </si>
  <si>
    <t>B0050</t>
  </si>
  <si>
    <t>B0051</t>
  </si>
  <si>
    <t>B0052</t>
  </si>
  <si>
    <t>B0053</t>
  </si>
  <si>
    <t>B0054</t>
  </si>
  <si>
    <t>B0055</t>
  </si>
  <si>
    <t>B0056</t>
  </si>
  <si>
    <t>B0057</t>
  </si>
  <si>
    <t>B0058</t>
  </si>
  <si>
    <t>B0059</t>
  </si>
  <si>
    <t>B0060</t>
  </si>
  <si>
    <t>B0061</t>
  </si>
  <si>
    <t>B0062</t>
  </si>
  <si>
    <t>B0063</t>
  </si>
  <si>
    <t>B0064</t>
  </si>
  <si>
    <t>B0065</t>
  </si>
  <si>
    <t>B0066</t>
  </si>
  <si>
    <t>B0067</t>
  </si>
  <si>
    <t>B0068</t>
  </si>
  <si>
    <t>B0069</t>
  </si>
  <si>
    <t>B0070</t>
  </si>
  <si>
    <t>B0071</t>
  </si>
  <si>
    <t>B0072</t>
  </si>
  <si>
    <t>B0073</t>
  </si>
  <si>
    <t>B0074</t>
  </si>
  <si>
    <t>B0075</t>
  </si>
  <si>
    <t>B0076</t>
  </si>
  <si>
    <t>B0077</t>
  </si>
  <si>
    <t>B0078</t>
  </si>
  <si>
    <t>B0079</t>
  </si>
  <si>
    <t>B0080</t>
  </si>
  <si>
    <t>B0081</t>
  </si>
  <si>
    <t>B0082</t>
  </si>
  <si>
    <t>B0083</t>
  </si>
  <si>
    <t>B0084</t>
  </si>
  <si>
    <t>B0085</t>
  </si>
  <si>
    <t>B0086</t>
  </si>
  <si>
    <t>B0087</t>
  </si>
  <si>
    <t>B0088</t>
  </si>
  <si>
    <t>B0089</t>
  </si>
  <si>
    <t>B0090</t>
  </si>
  <si>
    <t>B0091</t>
  </si>
  <si>
    <t>B0092</t>
  </si>
  <si>
    <t>B0093</t>
  </si>
  <si>
    <t>B0094</t>
  </si>
  <si>
    <t>B0095</t>
  </si>
  <si>
    <t>B0096</t>
  </si>
  <si>
    <t>B0097</t>
  </si>
  <si>
    <t>B0098</t>
  </si>
  <si>
    <t>B0099</t>
  </si>
  <si>
    <t>B0100</t>
  </si>
  <si>
    <t>B0101</t>
  </si>
  <si>
    <t>B0102</t>
  </si>
  <si>
    <t>B0103</t>
  </si>
  <si>
    <t>B0104</t>
  </si>
  <si>
    <t>B0105</t>
  </si>
  <si>
    <t>B0106</t>
  </si>
  <si>
    <t>B0107</t>
  </si>
  <si>
    <t>B0108</t>
  </si>
  <si>
    <t>B0109</t>
  </si>
  <si>
    <t>B0110</t>
  </si>
  <si>
    <t>B0111</t>
  </si>
  <si>
    <t>B0112</t>
  </si>
  <si>
    <t>B0113</t>
  </si>
  <si>
    <t>B0114</t>
  </si>
  <si>
    <t>B0115</t>
  </si>
  <si>
    <t>B0116</t>
  </si>
  <si>
    <t>B0117</t>
  </si>
  <si>
    <t>B0118</t>
  </si>
  <si>
    <t>B0119</t>
  </si>
  <si>
    <t>B0120</t>
  </si>
  <si>
    <t>B0121</t>
  </si>
  <si>
    <t>B0122</t>
  </si>
  <si>
    <t>B0123</t>
  </si>
  <si>
    <t>B0124</t>
  </si>
  <si>
    <t>B0125</t>
  </si>
  <si>
    <t>B0126</t>
  </si>
  <si>
    <t>B0127</t>
  </si>
  <si>
    <t>B0128</t>
  </si>
  <si>
    <t>B0129</t>
  </si>
  <si>
    <t>B0130</t>
  </si>
  <si>
    <t>B0131</t>
  </si>
  <si>
    <t>B0132</t>
  </si>
  <si>
    <t>B0133</t>
  </si>
  <si>
    <t>B0134</t>
  </si>
  <si>
    <t>B0135</t>
  </si>
  <si>
    <t>B0136</t>
  </si>
  <si>
    <t>B0137</t>
  </si>
  <si>
    <t>B0138</t>
  </si>
  <si>
    <t>B0139</t>
  </si>
  <si>
    <t>B0140</t>
  </si>
  <si>
    <t>B0141</t>
  </si>
  <si>
    <t>B0142</t>
  </si>
  <si>
    <t>B0143</t>
  </si>
  <si>
    <t>B0144</t>
  </si>
  <si>
    <t>B0145</t>
  </si>
  <si>
    <t>B0146</t>
  </si>
  <si>
    <t>B0147</t>
  </si>
  <si>
    <t>B0148</t>
  </si>
  <si>
    <t>B0149</t>
  </si>
  <si>
    <t>B0150</t>
  </si>
  <si>
    <t>Übungen</t>
  </si>
  <si>
    <t>Übungen – Stufe 5: Bedingte Aggregation</t>
  </si>
  <si>
    <t>Summe der Bearbeitungszeit (Spalte F) aller Vorgänge der Abteilung „Lager“.</t>
  </si>
  <si>
    <t>Funktion: SUMMEWENN</t>
  </si>
  <si>
    <t>Summe der Bearbeitungszeit für Abteilung „Lager“ UND Jahr 2025.</t>
  </si>
  <si>
    <t>Funktion: SUMMEWENNS</t>
  </si>
  <si>
    <t>Anzahl aller Vorgänge mit Status „Offen“.</t>
  </si>
  <si>
    <t>Funktion: ZÄHLENWENN</t>
  </si>
  <si>
    <t>Anzahl offener Vorgänge in der Abteilung „Versand“.</t>
  </si>
  <si>
    <t>Funktion: ZÄHLENWENNS</t>
  </si>
  <si>
    <t>Durchschnittliche Bearbeitungszeit für die Abteilung „Wartung“.</t>
  </si>
  <si>
    <t>Funktion: MITTELWERTWENN</t>
  </si>
  <si>
    <t>Durchschnittliche Bearbeitungszeit für Abteilung „Produktion“ UND Jahr 2024.</t>
  </si>
  <si>
    <t>Funktion: MITTELWERTWENNS</t>
  </si>
  <si>
    <t>Summe der Menge (Spalte G) aller Vorgänge, deren Artikel laut Stammdaten der Kategorie „Reinigung“ zugeordnet ist. Hinweis: Spalte H in 'Bewegungen' zuerst mit SVERWEIS auf die Stammdaten befüllen, dann SUMMEWENN auf Spalte H anwenden.</t>
  </si>
  <si>
    <t>Funktion: SVERWEIS + SUMMEWENN</t>
  </si>
  <si>
    <t>Summe der Bearbeitungszeit für Abteilung „Lager“ UND Menge größer als der Durchschnitt aller Mengen (mehrstufige Bedingung ohne direkte SUMMEWENNS-Lösung).</t>
  </si>
  <si>
    <t>Funktion: SUMMENPRODUKT</t>
  </si>
</sst>
</file>

<file path=xl/styles.xml><?xml version="1.0" encoding="utf-8"?>
<styleSheet xmlns="http://schemas.openxmlformats.org/spreadsheetml/2006/main">
  <numFmts count="1">
    <numFmt numFmtId="0" formatCode="General"/>
  </numFmts>
  <fonts count="15">
    <font>
      <sz val="11"/>
      <color indexed="8"/>
      <name val="Calibri"/>
    </font>
    <font>
      <sz val="12"/>
      <color indexed="8"/>
      <name val="Calibri"/>
    </font>
    <font>
      <sz val="14"/>
      <color indexed="8"/>
      <name val="Calibri"/>
    </font>
    <font>
      <sz val="12"/>
      <color indexed="8"/>
      <name val="Helvetica Neue"/>
    </font>
    <font>
      <u val="single"/>
      <sz val="12"/>
      <color indexed="11"/>
      <name val="Calibri"/>
    </font>
    <font>
      <sz val="15"/>
      <color indexed="8"/>
      <name val="Calibri"/>
    </font>
    <font>
      <sz val="14"/>
      <color indexed="12"/>
      <name val="Arial"/>
    </font>
    <font>
      <sz val="14"/>
      <color indexed="8"/>
      <name val="Arial"/>
    </font>
    <font>
      <sz val="14"/>
      <color indexed="13"/>
      <name val="Arial"/>
    </font>
    <font>
      <sz val="14"/>
      <color indexed="13"/>
      <name val="Calibri"/>
    </font>
    <font>
      <sz val="11"/>
      <color indexed="8"/>
      <name val="Arial"/>
    </font>
    <font>
      <sz val="10"/>
      <color indexed="17"/>
      <name val="Arial"/>
    </font>
    <font>
      <sz val="11"/>
      <color indexed="19"/>
      <name val="Calibri"/>
    </font>
    <font>
      <b val="1"/>
      <sz val="11"/>
      <color indexed="8"/>
      <name val="Calibri"/>
    </font>
    <font>
      <sz val="11"/>
      <color indexed="19"/>
      <name val="Helvetica Neue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8"/>
        <bgColor auto="1"/>
      </patternFill>
    </fill>
  </fills>
  <borders count="21">
    <border>
      <left/>
      <right/>
      <top/>
      <bottom/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/>
      <top style="thin">
        <color indexed="15"/>
      </top>
      <bottom/>
      <diagonal/>
    </border>
    <border>
      <left/>
      <right style="thin">
        <color indexed="15"/>
      </right>
      <top style="thin">
        <color indexed="15"/>
      </top>
      <bottom/>
      <diagonal/>
    </border>
    <border>
      <left style="thin">
        <color indexed="14"/>
      </left>
      <right/>
      <top/>
      <bottom/>
      <diagonal/>
    </border>
    <border>
      <left/>
      <right style="thin">
        <color indexed="15"/>
      </right>
      <top/>
      <bottom/>
      <diagonal/>
    </border>
    <border>
      <left style="thin">
        <color indexed="14"/>
      </left>
      <right/>
      <top/>
      <bottom style="thin">
        <color indexed="15"/>
      </bottom>
      <diagonal/>
    </border>
    <border>
      <left/>
      <right style="thin">
        <color indexed="15"/>
      </right>
      <top/>
      <bottom style="thin">
        <color indexed="15"/>
      </bottom>
      <diagonal/>
    </border>
    <border>
      <left style="thin">
        <color indexed="15"/>
      </left>
      <right/>
      <top style="thin">
        <color indexed="15"/>
      </top>
      <bottom/>
      <diagonal/>
    </border>
    <border>
      <left/>
      <right/>
      <top style="thin">
        <color indexed="15"/>
      </top>
      <bottom/>
      <diagonal/>
    </border>
    <border>
      <left style="thin">
        <color indexed="15"/>
      </left>
      <right style="thin">
        <color indexed="15"/>
      </right>
      <top style="thin">
        <color indexed="15"/>
      </top>
      <bottom/>
      <diagonal/>
    </border>
    <border>
      <left style="thin">
        <color indexed="15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14"/>
      </bottom>
      <diagonal/>
    </border>
    <border>
      <left style="thin">
        <color indexed="15"/>
      </left>
      <right style="thin">
        <color indexed="15"/>
      </right>
      <top/>
      <bottom/>
      <diagonal/>
    </border>
    <border>
      <left/>
      <right style="thin">
        <color indexed="14"/>
      </right>
      <top/>
      <bottom/>
      <diagonal/>
    </border>
    <border>
      <left style="thin">
        <color indexed="14"/>
      </left>
      <right style="thin">
        <color indexed="15"/>
      </right>
      <top/>
      <bottom/>
      <diagonal/>
    </border>
    <border>
      <left/>
      <right/>
      <top style="thin">
        <color indexed="14"/>
      </top>
      <bottom style="thin">
        <color indexed="14"/>
      </bottom>
      <diagonal/>
    </border>
    <border>
      <left/>
      <right/>
      <top style="thin">
        <color indexed="14"/>
      </top>
      <bottom/>
      <diagonal/>
    </border>
    <border>
      <left style="thin">
        <color indexed="15"/>
      </left>
      <right/>
      <top/>
      <bottom style="thin">
        <color indexed="15"/>
      </bottom>
      <diagonal/>
    </border>
    <border>
      <left/>
      <right/>
      <top/>
      <bottom style="thin">
        <color indexed="15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1">
    <xf numFmtId="0" fontId="0" applyNumberFormat="0" applyFont="1" applyFill="0" applyBorder="0" applyAlignment="1" applyProtection="0">
      <alignment vertical="bottom"/>
    </xf>
    <xf numFmtId="0" fontId="1" applyNumberFormat="0" applyFont="1" applyFill="0" applyBorder="0" applyAlignment="1" applyProtection="0">
      <alignment horizontal="left" vertical="bottom" wrapText="1"/>
    </xf>
    <xf numFmtId="0" fontId="2" applyNumberFormat="0" applyFont="1" applyFill="0" applyBorder="0" applyAlignment="1" applyProtection="0">
      <alignment horizontal="left" vertical="bottom"/>
    </xf>
    <xf numFmtId="0" fontId="1" fillId="2" applyNumberFormat="0" applyFont="1" applyFill="1" applyBorder="0" applyAlignment="1" applyProtection="0">
      <alignment horizontal="left" vertical="bottom"/>
    </xf>
    <xf numFmtId="0" fontId="1" fillId="3" applyNumberFormat="0" applyFont="1" applyFill="1" applyBorder="0" applyAlignment="1" applyProtection="0">
      <alignment horizontal="left" vertical="bottom"/>
    </xf>
    <xf numFmtId="0" fontId="4" fillId="3" applyNumberFormat="0" applyFont="1" applyFill="1" applyBorder="0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6" fillId="4" borderId="1" applyNumberFormat="1" applyFont="1" applyFill="1" applyBorder="1" applyAlignment="1" applyProtection="0">
      <alignment horizontal="center" vertical="bottom"/>
    </xf>
    <xf numFmtId="0" fontId="0" fillId="5" borderId="2" applyNumberFormat="0" applyFont="1" applyFill="1" applyBorder="1" applyAlignment="1" applyProtection="0">
      <alignment vertical="bottom"/>
    </xf>
    <xf numFmtId="0" fontId="0" fillId="5" borderId="3" applyNumberFormat="0" applyFont="1" applyFill="1" applyBorder="1" applyAlignment="1" applyProtection="0">
      <alignment vertical="bottom"/>
    </xf>
    <xf numFmtId="49" fontId="7" fillId="5" borderId="1" applyNumberFormat="1" applyFont="1" applyFill="1" applyBorder="1" applyAlignment="1" applyProtection="0">
      <alignment vertical="bottom"/>
    </xf>
    <xf numFmtId="0" fontId="0" fillId="5" borderId="4" applyNumberFormat="0" applyFont="1" applyFill="1" applyBorder="1" applyAlignment="1" applyProtection="0">
      <alignment vertical="bottom"/>
    </xf>
    <xf numFmtId="0" fontId="0" fillId="5" borderId="5" applyNumberFormat="0" applyFont="1" applyFill="1" applyBorder="1" applyAlignment="1" applyProtection="0">
      <alignment vertical="bottom"/>
    </xf>
    <xf numFmtId="49" fontId="2" fillId="5" borderId="1" applyNumberFormat="1" applyFont="1" applyFill="1" applyBorder="1" applyAlignment="1" applyProtection="0">
      <alignment vertical="bottom"/>
    </xf>
    <xf numFmtId="0" fontId="0" fillId="5" borderId="6" applyNumberFormat="0" applyFont="1" applyFill="1" applyBorder="1" applyAlignment="1" applyProtection="0">
      <alignment vertical="bottom"/>
    </xf>
    <xf numFmtId="0" fontId="0" fillId="5" borderId="7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6" fillId="4" borderId="1" applyNumberFormat="1" applyFont="1" applyFill="1" applyBorder="1" applyAlignment="1" applyProtection="0">
      <alignment horizontal="center" vertical="bottom" wrapText="1"/>
    </xf>
    <xf numFmtId="1" fontId="7" fillId="5" borderId="1" applyNumberFormat="1" applyFont="1" applyFill="1" applyBorder="1" applyAlignment="1" applyProtection="0">
      <alignment vertical="bottom"/>
    </xf>
    <xf numFmtId="0" fontId="7" fillId="6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8" fillId="5" borderId="8" applyNumberFormat="1" applyFont="1" applyFill="1" applyBorder="1" applyAlignment="1" applyProtection="0">
      <alignment vertical="bottom"/>
    </xf>
    <xf numFmtId="0" fontId="0" fillId="5" borderId="9" applyNumberFormat="0" applyFont="1" applyFill="1" applyBorder="1" applyAlignment="1" applyProtection="0">
      <alignment vertical="bottom"/>
    </xf>
    <xf numFmtId="1" fontId="9" fillId="5" borderId="9" applyNumberFormat="1" applyFont="1" applyFill="1" applyBorder="1" applyAlignment="1" applyProtection="0">
      <alignment vertical="bottom"/>
    </xf>
    <xf numFmtId="0" fontId="0" fillId="5" borderId="10" applyNumberFormat="0" applyFont="1" applyFill="1" applyBorder="1" applyAlignment="1" applyProtection="0">
      <alignment vertical="bottom"/>
    </xf>
    <xf numFmtId="0" fontId="10" fillId="5" borderId="11" applyNumberFormat="0" applyFont="1" applyFill="1" applyBorder="1" applyAlignment="1" applyProtection="0">
      <alignment vertical="bottom"/>
    </xf>
    <xf numFmtId="0" fontId="10" fillId="5" borderId="12" applyNumberFormat="0" applyFont="1" applyFill="1" applyBorder="1" applyAlignment="1" applyProtection="0">
      <alignment vertical="bottom"/>
    </xf>
    <xf numFmtId="0" fontId="10" fillId="5" borderId="13" applyNumberFormat="0" applyFont="1" applyFill="1" applyBorder="1" applyAlignment="1" applyProtection="0">
      <alignment vertical="bottom"/>
    </xf>
    <xf numFmtId="0" fontId="0" fillId="5" borderId="14" applyNumberFormat="0" applyFont="1" applyFill="1" applyBorder="1" applyAlignment="1" applyProtection="0">
      <alignment vertical="bottom"/>
    </xf>
    <xf numFmtId="49" fontId="10" fillId="5" borderId="11" applyNumberFormat="1" applyFont="1" applyFill="1" applyBorder="1" applyAlignment="1" applyProtection="0">
      <alignment vertical="top" wrapText="1"/>
    </xf>
    <xf numFmtId="49" fontId="11" fillId="5" borderId="15" applyNumberFormat="1" applyFont="1" applyFill="1" applyBorder="1" applyAlignment="1" applyProtection="0">
      <alignment vertical="bottom"/>
    </xf>
    <xf numFmtId="1" fontId="10" fillId="7" borderId="1" applyNumberFormat="1" applyFont="1" applyFill="1" applyBorder="1" applyAlignment="1" applyProtection="0">
      <alignment vertical="bottom"/>
    </xf>
    <xf numFmtId="0" fontId="0" fillId="5" borderId="16" applyNumberFormat="0" applyFont="1" applyFill="1" applyBorder="1" applyAlignment="1" applyProtection="0">
      <alignment vertical="bottom"/>
    </xf>
    <xf numFmtId="0" fontId="10" fillId="5" borderId="17" applyNumberFormat="0" applyFont="1" applyFill="1" applyBorder="1" applyAlignment="1" applyProtection="0">
      <alignment vertical="bottom"/>
    </xf>
    <xf numFmtId="0" fontId="10" fillId="5" borderId="18" applyNumberFormat="0" applyFont="1" applyFill="1" applyBorder="1" applyAlignment="1" applyProtection="0">
      <alignment vertical="bottom"/>
    </xf>
    <xf numFmtId="0" fontId="12" fillId="5" borderId="11" applyNumberFormat="0" applyFont="1" applyFill="1" applyBorder="1" applyAlignment="1" applyProtection="0">
      <alignment vertical="bottom"/>
    </xf>
    <xf numFmtId="0" fontId="12" fillId="5" borderId="12" applyNumberFormat="0" applyFont="1" applyFill="1" applyBorder="1" applyAlignment="1" applyProtection="0">
      <alignment vertical="bottom"/>
    </xf>
    <xf numFmtId="0" fontId="13" fillId="5" borderId="12" applyNumberFormat="0" applyFont="1" applyFill="1" applyBorder="1" applyAlignment="1" applyProtection="0">
      <alignment vertical="bottom"/>
    </xf>
    <xf numFmtId="0" fontId="14" fillId="5" borderId="11" applyNumberFormat="0" applyFont="1" applyFill="1" applyBorder="1" applyAlignment="1" applyProtection="0">
      <alignment vertical="bottom"/>
    </xf>
    <xf numFmtId="0" fontId="13" fillId="5" borderId="19" applyNumberFormat="0" applyFont="1" applyFill="1" applyBorder="1" applyAlignment="1" applyProtection="0">
      <alignment vertical="bottom"/>
    </xf>
    <xf numFmtId="0" fontId="13" fillId="5" borderId="20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1f4e78"/>
      <rgbColor rgb="ffbfbfbf"/>
      <rgbColor rgb="ffaaaaaa"/>
      <rgbColor rgb="fffce4d6"/>
      <rgbColor rgb="ff555555"/>
      <rgbColor rgb="fffff2cc"/>
      <rgbColor rgb="ffff26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0.5547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4</v>
      </c>
    </row>
    <row r="11">
      <c r="B11" t="s" s="3">
        <v>74</v>
      </c>
      <c r="C11" s="3"/>
      <c r="D11" s="3"/>
    </row>
    <row r="12">
      <c r="B12" s="4"/>
      <c r="C12" t="s" s="4">
        <v>5</v>
      </c>
      <c r="D12" t="s" s="5">
        <v>74</v>
      </c>
    </row>
    <row r="13">
      <c r="B13" t="s" s="3">
        <v>241</v>
      </c>
      <c r="C13" s="3"/>
      <c r="D13" s="3"/>
    </row>
    <row r="14">
      <c r="B14" s="4"/>
      <c r="C14" t="s" s="4">
        <v>5</v>
      </c>
      <c r="D14" t="s" s="5">
        <v>241</v>
      </c>
    </row>
  </sheetData>
  <mergeCells count="1">
    <mergeCell ref="B3:D3"/>
  </mergeCells>
  <hyperlinks>
    <hyperlink ref="D10" location="'Stammdaten'!R1C1" tooltip="" display="Stammdaten"/>
    <hyperlink ref="D12" location="'Bewegungen'!R1C1" tooltip="" display="Bewegungen"/>
    <hyperlink ref="D14" location="'Übungen'!R1C1" tooltip="" display="Übungen"/>
  </hyperlinks>
</worksheet>
</file>

<file path=xl/worksheets/sheet2.xml><?xml version="1.0" encoding="utf-8"?>
<worksheet xmlns:r="http://schemas.openxmlformats.org/officeDocument/2006/relationships" xmlns="http://schemas.openxmlformats.org/spreadsheetml/2006/main">
  <dimension ref="A1:E31"/>
  <sheetViews>
    <sheetView workbookViewId="0" showGridLines="0" defaultGridColor="1"/>
  </sheetViews>
  <sheetFormatPr defaultColWidth="8.66667" defaultRowHeight="15" customHeight="1" outlineLevelRow="0" outlineLevelCol="0"/>
  <cols>
    <col min="1" max="1" width="25.6719" style="6" customWidth="1"/>
    <col min="2" max="2" width="59.8516" style="6" customWidth="1"/>
    <col min="3" max="3" width="29.8516" style="6" customWidth="1"/>
    <col min="4" max="5" width="18.5" style="6" customWidth="1"/>
    <col min="6" max="16384" width="8.67188" style="6" customWidth="1"/>
  </cols>
  <sheetData>
    <row r="1" ht="17.65" customHeight="1">
      <c r="A1" t="s" s="7">
        <v>6</v>
      </c>
      <c r="B1" t="s" s="7">
        <v>7</v>
      </c>
      <c r="C1" t="s" s="7">
        <v>8</v>
      </c>
      <c r="D1" s="8"/>
      <c r="E1" s="9"/>
    </row>
    <row r="2" ht="17.65" customHeight="1">
      <c r="A2" t="s" s="10">
        <v>9</v>
      </c>
      <c r="B2" t="s" s="10">
        <v>10</v>
      </c>
      <c r="C2" t="s" s="10">
        <v>11</v>
      </c>
      <c r="D2" s="11"/>
      <c r="E2" s="12"/>
    </row>
    <row r="3" ht="17.65" customHeight="1">
      <c r="A3" t="s" s="10">
        <v>12</v>
      </c>
      <c r="B3" t="s" s="10">
        <v>13</v>
      </c>
      <c r="C3" t="s" s="10">
        <v>11</v>
      </c>
      <c r="D3" s="11"/>
      <c r="E3" s="12"/>
    </row>
    <row r="4" ht="17.65" customHeight="1">
      <c r="A4" t="s" s="10">
        <v>14</v>
      </c>
      <c r="B4" t="s" s="10">
        <v>15</v>
      </c>
      <c r="C4" t="s" s="10">
        <v>11</v>
      </c>
      <c r="D4" s="11"/>
      <c r="E4" s="12"/>
    </row>
    <row r="5" ht="17.65" customHeight="1">
      <c r="A5" t="s" s="10">
        <v>16</v>
      </c>
      <c r="B5" t="s" s="10">
        <v>17</v>
      </c>
      <c r="C5" t="s" s="10">
        <v>11</v>
      </c>
      <c r="D5" s="11"/>
      <c r="E5" s="12"/>
    </row>
    <row r="6" ht="17.65" customHeight="1">
      <c r="A6" t="s" s="10">
        <v>18</v>
      </c>
      <c r="B6" t="s" s="10">
        <v>19</v>
      </c>
      <c r="C6" t="s" s="10">
        <v>11</v>
      </c>
      <c r="D6" s="11"/>
      <c r="E6" s="12"/>
    </row>
    <row r="7" ht="17.65" customHeight="1">
      <c r="A7" t="s" s="10">
        <v>20</v>
      </c>
      <c r="B7" t="s" s="10">
        <v>21</v>
      </c>
      <c r="C7" t="s" s="10">
        <v>11</v>
      </c>
      <c r="D7" s="11"/>
      <c r="E7" s="12"/>
    </row>
    <row r="8" ht="17.65" customHeight="1">
      <c r="A8" t="s" s="10">
        <v>22</v>
      </c>
      <c r="B8" t="s" s="10">
        <v>23</v>
      </c>
      <c r="C8" t="s" s="10">
        <v>24</v>
      </c>
      <c r="D8" s="11"/>
      <c r="E8" s="12"/>
    </row>
    <row r="9" ht="17.65" customHeight="1">
      <c r="A9" t="s" s="10">
        <v>25</v>
      </c>
      <c r="B9" t="s" s="10">
        <v>26</v>
      </c>
      <c r="C9" t="s" s="10">
        <v>24</v>
      </c>
      <c r="D9" s="11"/>
      <c r="E9" s="12"/>
    </row>
    <row r="10" ht="17.65" customHeight="1">
      <c r="A10" t="s" s="10">
        <v>27</v>
      </c>
      <c r="B10" t="s" s="10">
        <v>28</v>
      </c>
      <c r="C10" t="s" s="10">
        <v>24</v>
      </c>
      <c r="D10" s="11"/>
      <c r="E10" s="12"/>
    </row>
    <row r="11" ht="17.65" customHeight="1">
      <c r="A11" t="s" s="10">
        <v>29</v>
      </c>
      <c r="B11" t="s" s="10">
        <v>30</v>
      </c>
      <c r="C11" t="s" s="10">
        <v>24</v>
      </c>
      <c r="D11" s="11"/>
      <c r="E11" s="12"/>
    </row>
    <row r="12" ht="17.65" customHeight="1">
      <c r="A12" t="s" s="10">
        <v>31</v>
      </c>
      <c r="B12" t="s" s="10">
        <v>32</v>
      </c>
      <c r="C12" t="s" s="10">
        <v>24</v>
      </c>
      <c r="D12" s="11"/>
      <c r="E12" s="12"/>
    </row>
    <row r="13" ht="17.65" customHeight="1">
      <c r="A13" t="s" s="10">
        <v>33</v>
      </c>
      <c r="B13" t="s" s="10">
        <v>34</v>
      </c>
      <c r="C13" t="s" s="10">
        <v>24</v>
      </c>
      <c r="D13" s="11"/>
      <c r="E13" s="12"/>
    </row>
    <row r="14" ht="17.65" customHeight="1">
      <c r="A14" t="s" s="10">
        <v>35</v>
      </c>
      <c r="B14" t="s" s="10">
        <v>36</v>
      </c>
      <c r="C14" t="s" s="10">
        <v>37</v>
      </c>
      <c r="D14" s="11"/>
      <c r="E14" s="12"/>
    </row>
    <row r="15" ht="17.65" customHeight="1">
      <c r="A15" t="s" s="10">
        <v>38</v>
      </c>
      <c r="B15" t="s" s="10">
        <v>39</v>
      </c>
      <c r="C15" t="s" s="10">
        <v>37</v>
      </c>
      <c r="D15" s="11"/>
      <c r="E15" s="12"/>
    </row>
    <row r="16" ht="17.65" customHeight="1">
      <c r="A16" t="s" s="10">
        <v>40</v>
      </c>
      <c r="B16" t="s" s="10">
        <v>41</v>
      </c>
      <c r="C16" t="s" s="10">
        <v>37</v>
      </c>
      <c r="D16" s="11"/>
      <c r="E16" s="12"/>
    </row>
    <row r="17" ht="17.65" customHeight="1">
      <c r="A17" t="s" s="10">
        <v>42</v>
      </c>
      <c r="B17" t="s" s="10">
        <v>43</v>
      </c>
      <c r="C17" t="s" s="10">
        <v>37</v>
      </c>
      <c r="D17" s="11"/>
      <c r="E17" s="12"/>
    </row>
    <row r="18" ht="17.65" customHeight="1">
      <c r="A18" t="s" s="10">
        <v>44</v>
      </c>
      <c r="B18" t="s" s="10">
        <v>45</v>
      </c>
      <c r="C18" t="s" s="10">
        <v>37</v>
      </c>
      <c r="D18" s="11"/>
      <c r="E18" s="12"/>
    </row>
    <row r="19" ht="17.65" customHeight="1">
      <c r="A19" t="s" s="10">
        <v>46</v>
      </c>
      <c r="B19" t="s" s="10">
        <v>47</v>
      </c>
      <c r="C19" t="s" s="10">
        <v>37</v>
      </c>
      <c r="D19" s="11"/>
      <c r="E19" s="12"/>
    </row>
    <row r="20" ht="17.65" customHeight="1">
      <c r="A20" t="s" s="10">
        <v>48</v>
      </c>
      <c r="B20" t="s" s="10">
        <v>49</v>
      </c>
      <c r="C20" t="s" s="10">
        <v>50</v>
      </c>
      <c r="D20" s="11"/>
      <c r="E20" s="12"/>
    </row>
    <row r="21" ht="17.65" customHeight="1">
      <c r="A21" t="s" s="10">
        <v>51</v>
      </c>
      <c r="B21" t="s" s="10">
        <v>52</v>
      </c>
      <c r="C21" t="s" s="10">
        <v>50</v>
      </c>
      <c r="D21" s="11"/>
      <c r="E21" s="12"/>
    </row>
    <row r="22" ht="17.65" customHeight="1">
      <c r="A22" t="s" s="10">
        <v>53</v>
      </c>
      <c r="B22" t="s" s="10">
        <v>54</v>
      </c>
      <c r="C22" t="s" s="10">
        <v>50</v>
      </c>
      <c r="D22" s="11"/>
      <c r="E22" s="12"/>
    </row>
    <row r="23" ht="17.65" customHeight="1">
      <c r="A23" t="s" s="10">
        <v>55</v>
      </c>
      <c r="B23" t="s" s="10">
        <v>56</v>
      </c>
      <c r="C23" t="s" s="10">
        <v>50</v>
      </c>
      <c r="D23" s="11"/>
      <c r="E23" s="12"/>
    </row>
    <row r="24" ht="17.65" customHeight="1">
      <c r="A24" t="s" s="10">
        <v>57</v>
      </c>
      <c r="B24" t="s" s="10">
        <v>58</v>
      </c>
      <c r="C24" t="s" s="10">
        <v>50</v>
      </c>
      <c r="D24" s="11"/>
      <c r="E24" s="12"/>
    </row>
    <row r="25" ht="17.65" customHeight="1">
      <c r="A25" t="s" s="10">
        <v>59</v>
      </c>
      <c r="B25" t="s" s="10">
        <v>60</v>
      </c>
      <c r="C25" t="s" s="10">
        <v>50</v>
      </c>
      <c r="D25" s="11"/>
      <c r="E25" s="12"/>
    </row>
    <row r="26" ht="17.65" customHeight="1">
      <c r="A26" t="s" s="10">
        <v>61</v>
      </c>
      <c r="B26" t="s" s="10">
        <v>62</v>
      </c>
      <c r="C26" t="s" s="10">
        <v>63</v>
      </c>
      <c r="D26" s="11"/>
      <c r="E26" s="12"/>
    </row>
    <row r="27" ht="17.65" customHeight="1">
      <c r="A27" t="s" s="10">
        <v>64</v>
      </c>
      <c r="B27" t="s" s="10">
        <v>65</v>
      </c>
      <c r="C27" t="s" s="10">
        <v>63</v>
      </c>
      <c r="D27" s="11"/>
      <c r="E27" s="12"/>
    </row>
    <row r="28" ht="17.65" customHeight="1">
      <c r="A28" t="s" s="10">
        <v>66</v>
      </c>
      <c r="B28" t="s" s="10">
        <v>67</v>
      </c>
      <c r="C28" t="s" s="10">
        <v>63</v>
      </c>
      <c r="D28" s="11"/>
      <c r="E28" s="12"/>
    </row>
    <row r="29" ht="17.65" customHeight="1">
      <c r="A29" t="s" s="10">
        <v>68</v>
      </c>
      <c r="B29" t="s" s="10">
        <v>69</v>
      </c>
      <c r="C29" t="s" s="10">
        <v>63</v>
      </c>
      <c r="D29" s="11"/>
      <c r="E29" s="12"/>
    </row>
    <row r="30" ht="17.65" customHeight="1">
      <c r="A30" t="s" s="10">
        <v>70</v>
      </c>
      <c r="B30" t="s" s="10">
        <v>71</v>
      </c>
      <c r="C30" t="s" s="10">
        <v>63</v>
      </c>
      <c r="D30" s="11"/>
      <c r="E30" s="12"/>
    </row>
    <row r="31" ht="17.65" customHeight="1">
      <c r="A31" t="s" s="13">
        <v>72</v>
      </c>
      <c r="B31" t="s" s="13">
        <v>73</v>
      </c>
      <c r="C31" t="s" s="13">
        <v>63</v>
      </c>
      <c r="D31" s="14"/>
      <c r="E31" s="15"/>
    </row>
  </sheetData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H151"/>
  <sheetViews>
    <sheetView workbookViewId="0" showGridLines="0" defaultGridColor="1"/>
  </sheetViews>
  <sheetFormatPr defaultColWidth="8.66667" defaultRowHeight="15" customHeight="1" outlineLevelRow="0" outlineLevelCol="0"/>
  <cols>
    <col min="1" max="1" width="17.6719" style="16" customWidth="1"/>
    <col min="2" max="2" width="11" style="16" customWidth="1"/>
    <col min="3" max="3" width="22.8516" style="16" customWidth="1"/>
    <col min="4" max="4" width="8" style="16" customWidth="1"/>
    <col min="5" max="5" width="14.3516" style="16" customWidth="1"/>
    <col min="6" max="6" width="20" style="16" customWidth="1"/>
    <col min="7" max="7" width="9" style="16" customWidth="1"/>
    <col min="8" max="8" width="32" style="16" customWidth="1"/>
    <col min="9" max="16384" width="8.67188" style="16" customWidth="1"/>
  </cols>
  <sheetData>
    <row r="1" ht="34.5" customHeight="1">
      <c r="A1" t="s" s="17">
        <v>75</v>
      </c>
      <c r="B1" t="s" s="17">
        <v>6</v>
      </c>
      <c r="C1" t="s" s="17">
        <v>76</v>
      </c>
      <c r="D1" t="s" s="17">
        <v>77</v>
      </c>
      <c r="E1" t="s" s="17">
        <v>78</v>
      </c>
      <c r="F1" t="s" s="17">
        <v>79</v>
      </c>
      <c r="G1" t="s" s="17">
        <v>80</v>
      </c>
      <c r="H1" t="s" s="17">
        <v>81</v>
      </c>
    </row>
    <row r="2" ht="18.5" customHeight="1">
      <c r="A2" t="s" s="10">
        <v>82</v>
      </c>
      <c r="B2" t="s" s="10">
        <v>53</v>
      </c>
      <c r="C2" t="s" s="10">
        <v>11</v>
      </c>
      <c r="D2" s="18">
        <v>2023</v>
      </c>
      <c r="E2" t="s" s="10">
        <v>83</v>
      </c>
      <c r="F2" s="18">
        <v>47.9</v>
      </c>
      <c r="G2" s="18">
        <v>9</v>
      </c>
      <c r="H2" t="str" s="19" cm="1">
        <f t="array" ref="H2">VLOOKUP(B2,'Stammdaten'!$A$2:$C$31,3,FALSE)</f>
        <v>Wartung</v>
      </c>
    </row>
    <row r="3" ht="18.5" customHeight="1">
      <c r="A3" t="s" s="10">
        <v>85</v>
      </c>
      <c r="B3" t="s" s="10">
        <v>59</v>
      </c>
      <c r="C3" t="s" s="10">
        <v>11</v>
      </c>
      <c r="D3" s="18">
        <v>2025</v>
      </c>
      <c r="E3" t="s" s="10">
        <v>83</v>
      </c>
      <c r="F3" s="18">
        <v>100.4</v>
      </c>
      <c r="G3" s="18">
        <v>38</v>
      </c>
      <c r="H3" t="str" s="19" cm="1">
        <f t="array" ref="H3">VLOOKUP(B3,'Stammdaten'!$A$2:$C$31,3,FALSE)</f>
        <v>Wartung</v>
      </c>
    </row>
    <row r="4" ht="18.5" customHeight="1">
      <c r="A4" t="s" s="10">
        <v>86</v>
      </c>
      <c r="B4" t="s" s="10">
        <v>38</v>
      </c>
      <c r="C4" t="s" s="10">
        <v>11</v>
      </c>
      <c r="D4" s="18">
        <v>2023</v>
      </c>
      <c r="E4" t="s" s="10">
        <v>87</v>
      </c>
      <c r="F4" s="18">
        <v>45.7</v>
      </c>
      <c r="G4" s="18">
        <v>39</v>
      </c>
      <c r="H4" t="str" s="19" cm="1">
        <f t="array" ref="H4">VLOOKUP(B4,'Stammdaten'!$A$2:$C$31,3,FALSE)</f>
        <v>Reinigung</v>
      </c>
    </row>
    <row r="5" ht="18.5" customHeight="1">
      <c r="A5" t="s" s="10">
        <v>89</v>
      </c>
      <c r="B5" t="s" s="10">
        <v>9</v>
      </c>
      <c r="C5" t="s" s="10">
        <v>90</v>
      </c>
      <c r="D5" s="18">
        <v>2023</v>
      </c>
      <c r="E5" t="s" s="10">
        <v>83</v>
      </c>
      <c r="F5" s="18">
        <v>127.7</v>
      </c>
      <c r="G5" s="18">
        <v>27</v>
      </c>
      <c r="H5" t="str" s="19" cm="1">
        <f t="array" ref="H5">VLOOKUP(B5,'Stammdaten'!$A$2:$C$31,3,FALSE)</f>
        <v>Lager</v>
      </c>
    </row>
    <row r="6" ht="18.5" customHeight="1">
      <c r="A6" t="s" s="10">
        <v>92</v>
      </c>
      <c r="B6" t="s" s="10">
        <v>25</v>
      </c>
      <c r="C6" t="s" s="10">
        <v>50</v>
      </c>
      <c r="D6" s="18">
        <v>2025</v>
      </c>
      <c r="E6" t="s" s="10">
        <v>87</v>
      </c>
      <c r="F6" s="18">
        <v>157.1</v>
      </c>
      <c r="G6" s="18">
        <v>49</v>
      </c>
      <c r="H6" t="str" s="19" cm="1">
        <f t="array" ref="H6">VLOOKUP(B6,'Stammdaten'!$A$2:$C$31,3,FALSE)</f>
        <v>Versand</v>
      </c>
    </row>
    <row r="7" ht="18.5" customHeight="1">
      <c r="A7" t="s" s="10">
        <v>94</v>
      </c>
      <c r="B7" t="s" s="10">
        <v>64</v>
      </c>
      <c r="C7" t="s" s="10">
        <v>24</v>
      </c>
      <c r="D7" s="18">
        <v>2025</v>
      </c>
      <c r="E7" t="s" s="10">
        <v>83</v>
      </c>
      <c r="F7" s="18">
        <v>53.6</v>
      </c>
      <c r="G7" s="18">
        <v>14</v>
      </c>
      <c r="H7" t="str" s="19" cm="1">
        <f t="array" ref="H7">VLOOKUP(B7,'Stammdaten'!$A$2:$C$31,3,FALSE)</f>
        <v>Produktion</v>
      </c>
    </row>
    <row r="8" ht="18.5" customHeight="1">
      <c r="A8" t="s" s="10">
        <v>96</v>
      </c>
      <c r="B8" t="s" s="10">
        <v>61</v>
      </c>
      <c r="C8" t="s" s="10">
        <v>63</v>
      </c>
      <c r="D8" s="18">
        <v>2023</v>
      </c>
      <c r="E8" t="s" s="10">
        <v>87</v>
      </c>
      <c r="F8" s="18">
        <v>21.9</v>
      </c>
      <c r="G8" s="18">
        <v>23</v>
      </c>
      <c r="H8" t="str" s="19" cm="1">
        <f t="array" ref="H8">VLOOKUP(B8,'Stammdaten'!$A$2:$C$31,3,FALSE)</f>
        <v>Produktion</v>
      </c>
    </row>
    <row r="9" ht="18.5" customHeight="1">
      <c r="A9" t="s" s="10">
        <v>97</v>
      </c>
      <c r="B9" t="s" s="10">
        <v>51</v>
      </c>
      <c r="C9" t="s" s="10">
        <v>63</v>
      </c>
      <c r="D9" s="18">
        <v>2023</v>
      </c>
      <c r="E9" t="s" s="10">
        <v>83</v>
      </c>
      <c r="F9" s="18">
        <v>98.8</v>
      </c>
      <c r="G9" s="18">
        <v>25</v>
      </c>
      <c r="H9" t="str" s="19" cm="1">
        <f t="array" ref="H9">VLOOKUP(B9,'Stammdaten'!$A$2:$C$31,3,FALSE)</f>
        <v>Wartung</v>
      </c>
    </row>
    <row r="10" ht="18.5" customHeight="1">
      <c r="A10" t="s" s="10">
        <v>98</v>
      </c>
      <c r="B10" t="s" s="10">
        <v>14</v>
      </c>
      <c r="C10" t="s" s="10">
        <v>90</v>
      </c>
      <c r="D10" s="18">
        <v>2024</v>
      </c>
      <c r="E10" t="s" s="10">
        <v>83</v>
      </c>
      <c r="F10" s="18">
        <v>113.2</v>
      </c>
      <c r="G10" s="18">
        <v>24</v>
      </c>
      <c r="H10" t="str" s="19" cm="1">
        <f t="array" ref="H10">VLOOKUP(B10,'Stammdaten'!$A$2:$C$31,3,FALSE)</f>
        <v>Lager</v>
      </c>
    </row>
    <row r="11" ht="18.5" customHeight="1">
      <c r="A11" t="s" s="10">
        <v>99</v>
      </c>
      <c r="B11" t="s" s="10">
        <v>48</v>
      </c>
      <c r="C11" t="s" s="10">
        <v>24</v>
      </c>
      <c r="D11" s="18">
        <v>2025</v>
      </c>
      <c r="E11" t="s" s="10">
        <v>87</v>
      </c>
      <c r="F11" s="18">
        <v>120.7</v>
      </c>
      <c r="G11" s="18">
        <v>50</v>
      </c>
      <c r="H11" t="str" s="19" cm="1">
        <f t="array" ref="H11">VLOOKUP(B11,'Stammdaten'!$A$2:$C$31,3,FALSE)</f>
        <v>Wartung</v>
      </c>
    </row>
    <row r="12" ht="18.5" customHeight="1">
      <c r="A12" t="s" s="10">
        <v>100</v>
      </c>
      <c r="B12" t="s" s="10">
        <v>29</v>
      </c>
      <c r="C12" t="s" s="10">
        <v>11</v>
      </c>
      <c r="D12" s="18">
        <v>2023</v>
      </c>
      <c r="E12" t="s" s="10">
        <v>83</v>
      </c>
      <c r="F12" s="18">
        <v>71.5</v>
      </c>
      <c r="G12" s="18">
        <v>30</v>
      </c>
      <c r="H12" t="str" s="19" cm="1">
        <f t="array" ref="H12">VLOOKUP(B12,'Stammdaten'!$A$2:$C$31,3,FALSE)</f>
        <v>Versand</v>
      </c>
    </row>
    <row r="13" ht="18.5" customHeight="1">
      <c r="A13" t="s" s="10">
        <v>101</v>
      </c>
      <c r="B13" t="s" s="10">
        <v>53</v>
      </c>
      <c r="C13" t="s" s="10">
        <v>63</v>
      </c>
      <c r="D13" s="18">
        <v>2023</v>
      </c>
      <c r="E13" t="s" s="10">
        <v>83</v>
      </c>
      <c r="F13" s="18">
        <v>41.7</v>
      </c>
      <c r="G13" s="18">
        <v>18</v>
      </c>
      <c r="H13" t="str" s="19" cm="1">
        <f t="array" ref="H13">VLOOKUP(B13,'Stammdaten'!$A$2:$C$31,3,FALSE)</f>
        <v>Wartung</v>
      </c>
    </row>
    <row r="14" ht="18.5" customHeight="1">
      <c r="A14" t="s" s="10">
        <v>102</v>
      </c>
      <c r="B14" t="s" s="10">
        <v>57</v>
      </c>
      <c r="C14" t="s" s="10">
        <v>11</v>
      </c>
      <c r="D14" s="18">
        <v>2025</v>
      </c>
      <c r="E14" t="s" s="10">
        <v>83</v>
      </c>
      <c r="F14" s="18">
        <v>98.5</v>
      </c>
      <c r="G14" s="18">
        <v>16</v>
      </c>
      <c r="H14" t="str" s="19" cm="1">
        <f t="array" ref="H14">VLOOKUP(B14,'Stammdaten'!$A$2:$C$31,3,FALSE)</f>
        <v>Wartung</v>
      </c>
    </row>
    <row r="15" ht="18.5" customHeight="1">
      <c r="A15" t="s" s="10">
        <v>103</v>
      </c>
      <c r="B15" t="s" s="10">
        <v>20</v>
      </c>
      <c r="C15" t="s" s="10">
        <v>50</v>
      </c>
      <c r="D15" s="18">
        <v>2024</v>
      </c>
      <c r="E15" t="s" s="10">
        <v>87</v>
      </c>
      <c r="F15" s="18">
        <v>166.9</v>
      </c>
      <c r="G15" s="18">
        <v>45</v>
      </c>
      <c r="H15" t="str" s="19" cm="1">
        <f t="array" ref="H15">VLOOKUP(B15,'Stammdaten'!$A$2:$C$31,3,FALSE)</f>
        <v>Lager</v>
      </c>
    </row>
    <row r="16" ht="18.5" customHeight="1">
      <c r="A16" t="s" s="10">
        <v>104</v>
      </c>
      <c r="B16" t="s" s="10">
        <v>46</v>
      </c>
      <c r="C16" t="s" s="10">
        <v>24</v>
      </c>
      <c r="D16" s="18">
        <v>2025</v>
      </c>
      <c r="E16" t="s" s="10">
        <v>87</v>
      </c>
      <c r="F16" s="18">
        <v>139.5</v>
      </c>
      <c r="G16" s="18">
        <v>4</v>
      </c>
      <c r="H16" t="str" s="19" cm="1">
        <f t="array" ref="H16">VLOOKUP(B16,'Stammdaten'!$A$2:$C$31,3,FALSE)</f>
        <v>Reinigung</v>
      </c>
    </row>
    <row r="17" ht="18.5" customHeight="1">
      <c r="A17" t="s" s="10">
        <v>105</v>
      </c>
      <c r="B17" t="s" s="10">
        <v>25</v>
      </c>
      <c r="C17" t="s" s="10">
        <v>11</v>
      </c>
      <c r="D17" s="18">
        <v>2024</v>
      </c>
      <c r="E17" t="s" s="10">
        <v>83</v>
      </c>
      <c r="F17" s="18">
        <v>16.6</v>
      </c>
      <c r="G17" s="18">
        <v>37</v>
      </c>
      <c r="H17" t="str" s="19" cm="1">
        <f t="array" ref="H17">VLOOKUP(B17,'Stammdaten'!$A$2:$C$31,3,FALSE)</f>
        <v>Versand</v>
      </c>
    </row>
    <row r="18" ht="18.5" customHeight="1">
      <c r="A18" t="s" s="10">
        <v>106</v>
      </c>
      <c r="B18" t="s" s="10">
        <v>70</v>
      </c>
      <c r="C18" t="s" s="10">
        <v>63</v>
      </c>
      <c r="D18" s="18">
        <v>2023</v>
      </c>
      <c r="E18" t="s" s="10">
        <v>83</v>
      </c>
      <c r="F18" s="18">
        <v>74.2</v>
      </c>
      <c r="G18" s="18">
        <v>42</v>
      </c>
      <c r="H18" t="str" s="19" cm="1">
        <f t="array" ref="H18">VLOOKUP(B18,'Stammdaten'!$A$2:$C$31,3,FALSE)</f>
        <v>Produktion</v>
      </c>
    </row>
    <row r="19" ht="18.5" customHeight="1">
      <c r="A19" t="s" s="10">
        <v>107</v>
      </c>
      <c r="B19" t="s" s="10">
        <v>40</v>
      </c>
      <c r="C19" t="s" s="10">
        <v>24</v>
      </c>
      <c r="D19" s="18">
        <v>2024</v>
      </c>
      <c r="E19" t="s" s="10">
        <v>87</v>
      </c>
      <c r="F19" s="18">
        <v>135.4</v>
      </c>
      <c r="G19" s="18">
        <v>35</v>
      </c>
      <c r="H19" t="str" s="19" cm="1">
        <f t="array" ref="H19">VLOOKUP(B19,'Stammdaten'!$A$2:$C$31,3,FALSE)</f>
        <v>Reinigung</v>
      </c>
    </row>
    <row r="20" ht="18.5" customHeight="1">
      <c r="A20" t="s" s="10">
        <v>108</v>
      </c>
      <c r="B20" t="s" s="10">
        <v>27</v>
      </c>
      <c r="C20" t="s" s="10">
        <v>90</v>
      </c>
      <c r="D20" s="18">
        <v>2024</v>
      </c>
      <c r="E20" t="s" s="10">
        <v>83</v>
      </c>
      <c r="F20" s="18">
        <v>74.90000000000001</v>
      </c>
      <c r="G20" s="18">
        <v>15</v>
      </c>
      <c r="H20" t="str" s="19" cm="1">
        <f t="array" ref="H20">VLOOKUP(B20,'Stammdaten'!$A$2:$C$31,3,FALSE)</f>
        <v>Versand</v>
      </c>
    </row>
    <row r="21" ht="18.5" customHeight="1">
      <c r="A21" t="s" s="10">
        <v>109</v>
      </c>
      <c r="B21" t="s" s="10">
        <v>18</v>
      </c>
      <c r="C21" t="s" s="10">
        <v>90</v>
      </c>
      <c r="D21" s="18">
        <v>2024</v>
      </c>
      <c r="E21" t="s" s="10">
        <v>87</v>
      </c>
      <c r="F21" s="18">
        <v>13.2</v>
      </c>
      <c r="G21" s="18">
        <v>8</v>
      </c>
      <c r="H21" t="str" s="19" cm="1">
        <f t="array" ref="H21">VLOOKUP(B21,'Stammdaten'!$A$2:$C$31,3,FALSE)</f>
        <v>Lager</v>
      </c>
    </row>
    <row r="22" ht="18.5" customHeight="1">
      <c r="A22" t="s" s="10">
        <v>110</v>
      </c>
      <c r="B22" t="s" s="10">
        <v>18</v>
      </c>
      <c r="C22" t="s" s="10">
        <v>24</v>
      </c>
      <c r="D22" s="18">
        <v>2025</v>
      </c>
      <c r="E22" t="s" s="10">
        <v>83</v>
      </c>
      <c r="F22" s="18">
        <v>16.1</v>
      </c>
      <c r="G22" s="18">
        <v>25</v>
      </c>
      <c r="H22" t="str" s="19" cm="1">
        <f t="array" ref="H22">VLOOKUP(B22,'Stammdaten'!$A$2:$C$31,3,FALSE)</f>
        <v>Lager</v>
      </c>
    </row>
    <row r="23" ht="18.5" customHeight="1">
      <c r="A23" t="s" s="10">
        <v>111</v>
      </c>
      <c r="B23" t="s" s="10">
        <v>51</v>
      </c>
      <c r="C23" t="s" s="10">
        <v>50</v>
      </c>
      <c r="D23" s="18">
        <v>2025</v>
      </c>
      <c r="E23" t="s" s="10">
        <v>87</v>
      </c>
      <c r="F23" s="18">
        <v>101.8</v>
      </c>
      <c r="G23" s="18">
        <v>1</v>
      </c>
      <c r="H23" t="str" s="19" cm="1">
        <f t="array" ref="H23">VLOOKUP(B23,'Stammdaten'!$A$2:$C$31,3,FALSE)</f>
        <v>Wartung</v>
      </c>
    </row>
    <row r="24" ht="18.5" customHeight="1">
      <c r="A24" t="s" s="10">
        <v>112</v>
      </c>
      <c r="B24" t="s" s="10">
        <v>55</v>
      </c>
      <c r="C24" t="s" s="10">
        <v>11</v>
      </c>
      <c r="D24" s="18">
        <v>2025</v>
      </c>
      <c r="E24" t="s" s="10">
        <v>83</v>
      </c>
      <c r="F24" s="18">
        <v>136.4</v>
      </c>
      <c r="G24" s="18">
        <v>50</v>
      </c>
      <c r="H24" t="str" s="19" cm="1">
        <f t="array" ref="H24">VLOOKUP(B24,'Stammdaten'!$A$2:$C$31,3,FALSE)</f>
        <v>Wartung</v>
      </c>
    </row>
    <row r="25" ht="18.5" customHeight="1">
      <c r="A25" t="s" s="10">
        <v>113</v>
      </c>
      <c r="B25" t="s" s="10">
        <v>53</v>
      </c>
      <c r="C25" t="s" s="10">
        <v>63</v>
      </c>
      <c r="D25" s="18">
        <v>2023</v>
      </c>
      <c r="E25" t="s" s="10">
        <v>87</v>
      </c>
      <c r="F25" s="18">
        <v>32.7</v>
      </c>
      <c r="G25" s="18">
        <v>1</v>
      </c>
      <c r="H25" t="str" s="19" cm="1">
        <f t="array" ref="H25">VLOOKUP(B25,'Stammdaten'!$A$2:$C$31,3,FALSE)</f>
        <v>Wartung</v>
      </c>
    </row>
    <row r="26" ht="18.5" customHeight="1">
      <c r="A26" t="s" s="10">
        <v>114</v>
      </c>
      <c r="B26" t="s" s="10">
        <v>59</v>
      </c>
      <c r="C26" t="s" s="10">
        <v>63</v>
      </c>
      <c r="D26" s="18">
        <v>2025</v>
      </c>
      <c r="E26" t="s" s="10">
        <v>83</v>
      </c>
      <c r="F26" s="18">
        <v>93.8</v>
      </c>
      <c r="G26" s="18">
        <v>7</v>
      </c>
      <c r="H26" t="str" s="19" cm="1">
        <f t="array" ref="H26">VLOOKUP(B26,'Stammdaten'!$A$2:$C$31,3,FALSE)</f>
        <v>Wartung</v>
      </c>
    </row>
    <row r="27" ht="18.5" customHeight="1">
      <c r="A27" t="s" s="10">
        <v>115</v>
      </c>
      <c r="B27" t="s" s="10">
        <v>68</v>
      </c>
      <c r="C27" t="s" s="10">
        <v>63</v>
      </c>
      <c r="D27" s="18">
        <v>2025</v>
      </c>
      <c r="E27" t="s" s="10">
        <v>83</v>
      </c>
      <c r="F27" s="18">
        <v>39.8</v>
      </c>
      <c r="G27" s="18">
        <v>24</v>
      </c>
      <c r="H27" t="str" s="19" cm="1">
        <f t="array" ref="H27">VLOOKUP(B27,'Stammdaten'!$A$2:$C$31,3,FALSE)</f>
        <v>Produktion</v>
      </c>
    </row>
    <row r="28" ht="18.5" customHeight="1">
      <c r="A28" t="s" s="10">
        <v>116</v>
      </c>
      <c r="B28" t="s" s="10">
        <v>61</v>
      </c>
      <c r="C28" t="s" s="10">
        <v>24</v>
      </c>
      <c r="D28" s="18">
        <v>2025</v>
      </c>
      <c r="E28" t="s" s="10">
        <v>117</v>
      </c>
      <c r="F28" s="18">
        <v>166.4</v>
      </c>
      <c r="G28" s="18">
        <v>1</v>
      </c>
      <c r="H28" t="str" s="19" cm="1">
        <f t="array" ref="H28">VLOOKUP(B28,'Stammdaten'!$A$2:$C$31,3,FALSE)</f>
        <v>Produktion</v>
      </c>
    </row>
    <row r="29" ht="18.5" customHeight="1">
      <c r="A29" t="s" s="10">
        <v>118</v>
      </c>
      <c r="B29" t="s" s="10">
        <v>51</v>
      </c>
      <c r="C29" t="s" s="10">
        <v>63</v>
      </c>
      <c r="D29" s="18">
        <v>2024</v>
      </c>
      <c r="E29" t="s" s="10">
        <v>87</v>
      </c>
      <c r="F29" s="18">
        <v>167.6</v>
      </c>
      <c r="G29" s="18">
        <v>20</v>
      </c>
      <c r="H29" t="str" s="19" cm="1">
        <f t="array" ref="H29">VLOOKUP(B29,'Stammdaten'!$A$2:$C$31,3,FALSE)</f>
        <v>Wartung</v>
      </c>
    </row>
    <row r="30" ht="18.5" customHeight="1">
      <c r="A30" t="s" s="10">
        <v>119</v>
      </c>
      <c r="B30" t="s" s="10">
        <v>25</v>
      </c>
      <c r="C30" t="s" s="10">
        <v>11</v>
      </c>
      <c r="D30" s="18">
        <v>2023</v>
      </c>
      <c r="E30" t="s" s="10">
        <v>83</v>
      </c>
      <c r="F30" s="18">
        <v>170.7</v>
      </c>
      <c r="G30" s="18">
        <v>6</v>
      </c>
      <c r="H30" t="str" s="19" cm="1">
        <f t="array" ref="H30">VLOOKUP(B30,'Stammdaten'!$A$2:$C$31,3,FALSE)</f>
        <v>Versand</v>
      </c>
    </row>
    <row r="31" ht="18.5" customHeight="1">
      <c r="A31" t="s" s="10">
        <v>120</v>
      </c>
      <c r="B31" t="s" s="10">
        <v>59</v>
      </c>
      <c r="C31" t="s" s="10">
        <v>50</v>
      </c>
      <c r="D31" s="18">
        <v>2023</v>
      </c>
      <c r="E31" t="s" s="10">
        <v>117</v>
      </c>
      <c r="F31" s="18">
        <v>98.2</v>
      </c>
      <c r="G31" s="18">
        <v>9</v>
      </c>
      <c r="H31" t="str" s="19" cm="1">
        <f t="array" ref="H31">VLOOKUP(B31,'Stammdaten'!$A$2:$C$31,3,FALSE)</f>
        <v>Wartung</v>
      </c>
    </row>
    <row r="32" ht="18.5" customHeight="1">
      <c r="A32" t="s" s="10">
        <v>121</v>
      </c>
      <c r="B32" t="s" s="10">
        <v>18</v>
      </c>
      <c r="C32" t="s" s="10">
        <v>50</v>
      </c>
      <c r="D32" s="18">
        <v>2025</v>
      </c>
      <c r="E32" t="s" s="10">
        <v>87</v>
      </c>
      <c r="F32" s="18">
        <v>97.3</v>
      </c>
      <c r="G32" s="18">
        <v>39</v>
      </c>
      <c r="H32" t="str" s="19" cm="1">
        <f t="array" ref="H32">VLOOKUP(B32,'Stammdaten'!$A$2:$C$31,3,FALSE)</f>
        <v>Lager</v>
      </c>
    </row>
    <row r="33" ht="18.5" customHeight="1">
      <c r="A33" t="s" s="10">
        <v>122</v>
      </c>
      <c r="B33" t="s" s="10">
        <v>38</v>
      </c>
      <c r="C33" t="s" s="10">
        <v>24</v>
      </c>
      <c r="D33" s="18">
        <v>2025</v>
      </c>
      <c r="E33" t="s" s="10">
        <v>83</v>
      </c>
      <c r="F33" s="18">
        <v>125.7</v>
      </c>
      <c r="G33" s="18">
        <v>46</v>
      </c>
      <c r="H33" t="str" s="19" cm="1">
        <f t="array" ref="H33">VLOOKUP(B33,'Stammdaten'!$A$2:$C$31,3,FALSE)</f>
        <v>Reinigung</v>
      </c>
    </row>
    <row r="34" ht="18.5" customHeight="1">
      <c r="A34" t="s" s="10">
        <v>123</v>
      </c>
      <c r="B34" t="s" s="10">
        <v>29</v>
      </c>
      <c r="C34" t="s" s="10">
        <v>50</v>
      </c>
      <c r="D34" s="18">
        <v>2025</v>
      </c>
      <c r="E34" t="s" s="10">
        <v>83</v>
      </c>
      <c r="F34" s="18">
        <v>81.7</v>
      </c>
      <c r="G34" s="18">
        <v>34</v>
      </c>
      <c r="H34" t="str" s="19" cm="1">
        <f t="array" ref="H34">VLOOKUP(B34,'Stammdaten'!$A$2:$C$31,3,FALSE)</f>
        <v>Versand</v>
      </c>
    </row>
    <row r="35" ht="18.5" customHeight="1">
      <c r="A35" t="s" s="10">
        <v>124</v>
      </c>
      <c r="B35" t="s" s="10">
        <v>40</v>
      </c>
      <c r="C35" t="s" s="10">
        <v>11</v>
      </c>
      <c r="D35" s="18">
        <v>2023</v>
      </c>
      <c r="E35" t="s" s="10">
        <v>87</v>
      </c>
      <c r="F35" s="18">
        <v>64.2</v>
      </c>
      <c r="G35" s="18">
        <v>38</v>
      </c>
      <c r="H35" t="str" s="19" cm="1">
        <f t="array" ref="H35">VLOOKUP(B35,'Stammdaten'!$A$2:$C$31,3,FALSE)</f>
        <v>Reinigung</v>
      </c>
    </row>
    <row r="36" ht="18.5" customHeight="1">
      <c r="A36" t="s" s="10">
        <v>125</v>
      </c>
      <c r="B36" t="s" s="10">
        <v>46</v>
      </c>
      <c r="C36" t="s" s="10">
        <v>24</v>
      </c>
      <c r="D36" s="18">
        <v>2025</v>
      </c>
      <c r="E36" t="s" s="10">
        <v>87</v>
      </c>
      <c r="F36" s="18">
        <v>17.4</v>
      </c>
      <c r="G36" s="18">
        <v>41</v>
      </c>
      <c r="H36" t="str" s="19" cm="1">
        <f t="array" ref="H36">VLOOKUP(B36,'Stammdaten'!$A$2:$C$31,3,FALSE)</f>
        <v>Reinigung</v>
      </c>
    </row>
    <row r="37" ht="18.5" customHeight="1">
      <c r="A37" t="s" s="10">
        <v>126</v>
      </c>
      <c r="B37" t="s" s="10">
        <v>12</v>
      </c>
      <c r="C37" t="s" s="10">
        <v>24</v>
      </c>
      <c r="D37" s="18">
        <v>2023</v>
      </c>
      <c r="E37" t="s" s="10">
        <v>117</v>
      </c>
      <c r="F37" s="18">
        <v>155.4</v>
      </c>
      <c r="G37" s="18">
        <v>5</v>
      </c>
      <c r="H37" t="str" s="19" cm="1">
        <f t="array" ref="H37">VLOOKUP(B37,'Stammdaten'!$A$2:$C$31,3,FALSE)</f>
        <v>Lager</v>
      </c>
    </row>
    <row r="38" ht="18.5" customHeight="1">
      <c r="A38" t="s" s="10">
        <v>127</v>
      </c>
      <c r="B38" t="s" s="10">
        <v>44</v>
      </c>
      <c r="C38" t="s" s="10">
        <v>24</v>
      </c>
      <c r="D38" s="18">
        <v>2024</v>
      </c>
      <c r="E38" t="s" s="10">
        <v>83</v>
      </c>
      <c r="F38" s="18">
        <v>42.5</v>
      </c>
      <c r="G38" s="18">
        <v>9</v>
      </c>
      <c r="H38" t="str" s="19" cm="1">
        <f t="array" ref="H38">VLOOKUP(B38,'Stammdaten'!$A$2:$C$31,3,FALSE)</f>
        <v>Reinigung</v>
      </c>
    </row>
    <row r="39" ht="18.5" customHeight="1">
      <c r="A39" t="s" s="10">
        <v>128</v>
      </c>
      <c r="B39" t="s" s="10">
        <v>59</v>
      </c>
      <c r="C39" t="s" s="10">
        <v>90</v>
      </c>
      <c r="D39" s="18">
        <v>2025</v>
      </c>
      <c r="E39" t="s" s="10">
        <v>83</v>
      </c>
      <c r="F39" s="18">
        <v>142.3</v>
      </c>
      <c r="G39" s="18">
        <v>27</v>
      </c>
      <c r="H39" t="str" s="19" cm="1">
        <f t="array" ref="H39">VLOOKUP(B39,'Stammdaten'!$A$2:$C$31,3,FALSE)</f>
        <v>Wartung</v>
      </c>
    </row>
    <row r="40" ht="18.5" customHeight="1">
      <c r="A40" t="s" s="10">
        <v>129</v>
      </c>
      <c r="B40" t="s" s="10">
        <v>22</v>
      </c>
      <c r="C40" t="s" s="10">
        <v>11</v>
      </c>
      <c r="D40" s="18">
        <v>2023</v>
      </c>
      <c r="E40" t="s" s="10">
        <v>83</v>
      </c>
      <c r="F40" s="18">
        <v>67</v>
      </c>
      <c r="G40" s="18">
        <v>27</v>
      </c>
      <c r="H40" t="str" s="19" cm="1">
        <f t="array" ref="H40">VLOOKUP(B40,'Stammdaten'!$A$2:$C$31,3,FALSE)</f>
        <v>Versand</v>
      </c>
    </row>
    <row r="41" ht="18.5" customHeight="1">
      <c r="A41" t="s" s="10">
        <v>130</v>
      </c>
      <c r="B41" t="s" s="10">
        <v>40</v>
      </c>
      <c r="C41" t="s" s="10">
        <v>11</v>
      </c>
      <c r="D41" s="18">
        <v>2025</v>
      </c>
      <c r="E41" t="s" s="10">
        <v>83</v>
      </c>
      <c r="F41" s="18">
        <v>118.1</v>
      </c>
      <c r="G41" s="18">
        <v>4</v>
      </c>
      <c r="H41" t="str" s="19" cm="1">
        <f t="array" ref="H41">VLOOKUP(B41,'Stammdaten'!$A$2:$C$31,3,FALSE)</f>
        <v>Reinigung</v>
      </c>
    </row>
    <row r="42" ht="18.5" customHeight="1">
      <c r="A42" t="s" s="10">
        <v>131</v>
      </c>
      <c r="B42" t="s" s="10">
        <v>35</v>
      </c>
      <c r="C42" t="s" s="10">
        <v>63</v>
      </c>
      <c r="D42" s="18">
        <v>2023</v>
      </c>
      <c r="E42" t="s" s="10">
        <v>87</v>
      </c>
      <c r="F42" s="18">
        <v>38.3</v>
      </c>
      <c r="G42" s="18">
        <v>29</v>
      </c>
      <c r="H42" t="str" s="19" cm="1">
        <f t="array" ref="H42">VLOOKUP(B42,'Stammdaten'!$A$2:$C$31,3,FALSE)</f>
        <v>Reinigung</v>
      </c>
    </row>
    <row r="43" ht="18.5" customHeight="1">
      <c r="A43" t="s" s="10">
        <v>132</v>
      </c>
      <c r="B43" t="s" s="10">
        <v>18</v>
      </c>
      <c r="C43" t="s" s="10">
        <v>50</v>
      </c>
      <c r="D43" s="18">
        <v>2023</v>
      </c>
      <c r="E43" t="s" s="10">
        <v>87</v>
      </c>
      <c r="F43" s="18">
        <v>48.7</v>
      </c>
      <c r="G43" s="18">
        <v>5</v>
      </c>
      <c r="H43" t="str" s="19" cm="1">
        <f t="array" ref="H43">VLOOKUP(B43,'Stammdaten'!$A$2:$C$31,3,FALSE)</f>
        <v>Lager</v>
      </c>
    </row>
    <row r="44" ht="18.5" customHeight="1">
      <c r="A44" t="s" s="10">
        <v>133</v>
      </c>
      <c r="B44" t="s" s="10">
        <v>40</v>
      </c>
      <c r="C44" t="s" s="10">
        <v>90</v>
      </c>
      <c r="D44" s="18">
        <v>2023</v>
      </c>
      <c r="E44" t="s" s="10">
        <v>87</v>
      </c>
      <c r="F44" s="18">
        <v>179.9</v>
      </c>
      <c r="G44" s="18">
        <v>1</v>
      </c>
      <c r="H44" t="str" s="19" cm="1">
        <f t="array" ref="H44">VLOOKUP(B44,'Stammdaten'!$A$2:$C$31,3,FALSE)</f>
        <v>Reinigung</v>
      </c>
    </row>
    <row r="45" ht="18.5" customHeight="1">
      <c r="A45" t="s" s="10">
        <v>134</v>
      </c>
      <c r="B45" t="s" s="10">
        <v>14</v>
      </c>
      <c r="C45" t="s" s="10">
        <v>24</v>
      </c>
      <c r="D45" s="18">
        <v>2023</v>
      </c>
      <c r="E45" t="s" s="10">
        <v>83</v>
      </c>
      <c r="F45" s="18">
        <v>89.2</v>
      </c>
      <c r="G45" s="18">
        <v>26</v>
      </c>
      <c r="H45" t="str" s="19" cm="1">
        <f t="array" ref="H45">VLOOKUP(B45,'Stammdaten'!$A$2:$C$31,3,FALSE)</f>
        <v>Lager</v>
      </c>
    </row>
    <row r="46" ht="18.5" customHeight="1">
      <c r="A46" t="s" s="10">
        <v>135</v>
      </c>
      <c r="B46" t="s" s="10">
        <v>70</v>
      </c>
      <c r="C46" t="s" s="10">
        <v>11</v>
      </c>
      <c r="D46" s="18">
        <v>2023</v>
      </c>
      <c r="E46" t="s" s="10">
        <v>83</v>
      </c>
      <c r="F46" s="18">
        <v>177.4</v>
      </c>
      <c r="G46" s="18">
        <v>17</v>
      </c>
      <c r="H46" t="str" s="19" cm="1">
        <f t="array" ref="H46">VLOOKUP(B46,'Stammdaten'!$A$2:$C$31,3,FALSE)</f>
        <v>Produktion</v>
      </c>
    </row>
    <row r="47" ht="18.5" customHeight="1">
      <c r="A47" t="s" s="10">
        <v>136</v>
      </c>
      <c r="B47" t="s" s="10">
        <v>72</v>
      </c>
      <c r="C47" t="s" s="10">
        <v>50</v>
      </c>
      <c r="D47" s="18">
        <v>2024</v>
      </c>
      <c r="E47" t="s" s="10">
        <v>83</v>
      </c>
      <c r="F47" s="18">
        <v>172.5</v>
      </c>
      <c r="G47" s="18">
        <v>36</v>
      </c>
      <c r="H47" t="str" s="19" cm="1">
        <f t="array" ref="H47">VLOOKUP(B47,'Stammdaten'!$A$2:$C$31,3,FALSE)</f>
        <v>Produktion</v>
      </c>
    </row>
    <row r="48" ht="18.5" customHeight="1">
      <c r="A48" t="s" s="10">
        <v>137</v>
      </c>
      <c r="B48" t="s" s="10">
        <v>55</v>
      </c>
      <c r="C48" t="s" s="10">
        <v>50</v>
      </c>
      <c r="D48" s="18">
        <v>2023</v>
      </c>
      <c r="E48" t="s" s="10">
        <v>87</v>
      </c>
      <c r="F48" s="18">
        <v>43.1</v>
      </c>
      <c r="G48" s="18">
        <v>4</v>
      </c>
      <c r="H48" t="str" s="19" cm="1">
        <f t="array" ref="H48">VLOOKUP(B48,'Stammdaten'!$A$2:$C$31,3,FALSE)</f>
        <v>Wartung</v>
      </c>
    </row>
    <row r="49" ht="18.5" customHeight="1">
      <c r="A49" t="s" s="10">
        <v>138</v>
      </c>
      <c r="B49" t="s" s="10">
        <v>48</v>
      </c>
      <c r="C49" t="s" s="10">
        <v>90</v>
      </c>
      <c r="D49" s="18">
        <v>2023</v>
      </c>
      <c r="E49" t="s" s="10">
        <v>83</v>
      </c>
      <c r="F49" s="18">
        <v>15</v>
      </c>
      <c r="G49" s="18">
        <v>38</v>
      </c>
      <c r="H49" t="str" s="19" cm="1">
        <f t="array" ref="H49">VLOOKUP(B49,'Stammdaten'!$A$2:$C$31,3,FALSE)</f>
        <v>Wartung</v>
      </c>
    </row>
    <row r="50" ht="18.5" customHeight="1">
      <c r="A50" t="s" s="10">
        <v>139</v>
      </c>
      <c r="B50" t="s" s="10">
        <v>42</v>
      </c>
      <c r="C50" t="s" s="10">
        <v>90</v>
      </c>
      <c r="D50" s="18">
        <v>2025</v>
      </c>
      <c r="E50" t="s" s="10">
        <v>87</v>
      </c>
      <c r="F50" s="18">
        <v>173.1</v>
      </c>
      <c r="G50" s="18">
        <v>6</v>
      </c>
      <c r="H50" t="str" s="19" cm="1">
        <f t="array" ref="H50">VLOOKUP(B50,'Stammdaten'!$A$2:$C$31,3,FALSE)</f>
        <v>Reinigung</v>
      </c>
    </row>
    <row r="51" ht="18.5" customHeight="1">
      <c r="A51" t="s" s="10">
        <v>140</v>
      </c>
      <c r="B51" t="s" s="10">
        <v>68</v>
      </c>
      <c r="C51" t="s" s="10">
        <v>24</v>
      </c>
      <c r="D51" s="18">
        <v>2023</v>
      </c>
      <c r="E51" t="s" s="10">
        <v>83</v>
      </c>
      <c r="F51" s="18">
        <v>123.2</v>
      </c>
      <c r="G51" s="18">
        <v>16</v>
      </c>
      <c r="H51" t="str" s="19" cm="1">
        <f t="array" ref="H51">VLOOKUP(B51,'Stammdaten'!$A$2:$C$31,3,FALSE)</f>
        <v>Produktion</v>
      </c>
    </row>
    <row r="52" ht="18.5" customHeight="1">
      <c r="A52" t="s" s="10">
        <v>141</v>
      </c>
      <c r="B52" t="s" s="10">
        <v>35</v>
      </c>
      <c r="C52" t="s" s="10">
        <v>11</v>
      </c>
      <c r="D52" s="18">
        <v>2025</v>
      </c>
      <c r="E52" t="s" s="10">
        <v>87</v>
      </c>
      <c r="F52" s="18">
        <v>109</v>
      </c>
      <c r="G52" s="18">
        <v>40</v>
      </c>
      <c r="H52" t="str" s="19" cm="1">
        <f t="array" ref="H52">VLOOKUP(B52,'Stammdaten'!$A$2:$C$31,3,FALSE)</f>
        <v>Reinigung</v>
      </c>
    </row>
    <row r="53" ht="18.5" customHeight="1">
      <c r="A53" t="s" s="10">
        <v>142</v>
      </c>
      <c r="B53" t="s" s="10">
        <v>14</v>
      </c>
      <c r="C53" t="s" s="10">
        <v>50</v>
      </c>
      <c r="D53" s="18">
        <v>2025</v>
      </c>
      <c r="E53" t="s" s="10">
        <v>83</v>
      </c>
      <c r="F53" s="18">
        <v>96.5</v>
      </c>
      <c r="G53" s="18">
        <v>17</v>
      </c>
      <c r="H53" t="str" s="19" cm="1">
        <f t="array" ref="H53">VLOOKUP(B53,'Stammdaten'!$A$2:$C$31,3,FALSE)</f>
        <v>Lager</v>
      </c>
    </row>
    <row r="54" ht="18.5" customHeight="1">
      <c r="A54" t="s" s="10">
        <v>143</v>
      </c>
      <c r="B54" t="s" s="10">
        <v>22</v>
      </c>
      <c r="C54" t="s" s="10">
        <v>63</v>
      </c>
      <c r="D54" s="18">
        <v>2023</v>
      </c>
      <c r="E54" t="s" s="10">
        <v>87</v>
      </c>
      <c r="F54" s="18">
        <v>27.9</v>
      </c>
      <c r="G54" s="18">
        <v>42</v>
      </c>
      <c r="H54" t="str" s="19" cm="1">
        <f t="array" ref="H54">VLOOKUP(B54,'Stammdaten'!$A$2:$C$31,3,FALSE)</f>
        <v>Versand</v>
      </c>
    </row>
    <row r="55" ht="18.5" customHeight="1">
      <c r="A55" t="s" s="10">
        <v>144</v>
      </c>
      <c r="B55" t="s" s="10">
        <v>29</v>
      </c>
      <c r="C55" t="s" s="10">
        <v>50</v>
      </c>
      <c r="D55" s="18">
        <v>2024</v>
      </c>
      <c r="E55" t="s" s="10">
        <v>117</v>
      </c>
      <c r="F55" s="18">
        <v>168.8</v>
      </c>
      <c r="G55" s="18">
        <v>1</v>
      </c>
      <c r="H55" t="str" s="19" cm="1">
        <f t="array" ref="H55">VLOOKUP(B55,'Stammdaten'!$A$2:$C$31,3,FALSE)</f>
        <v>Versand</v>
      </c>
    </row>
    <row r="56" ht="18.5" customHeight="1">
      <c r="A56" t="s" s="10">
        <v>145</v>
      </c>
      <c r="B56" t="s" s="10">
        <v>40</v>
      </c>
      <c r="C56" t="s" s="10">
        <v>90</v>
      </c>
      <c r="D56" s="18">
        <v>2025</v>
      </c>
      <c r="E56" t="s" s="10">
        <v>117</v>
      </c>
      <c r="F56" s="18">
        <v>17.8</v>
      </c>
      <c r="G56" s="18">
        <v>14</v>
      </c>
      <c r="H56" t="str" s="19" cm="1">
        <f t="array" ref="H56">VLOOKUP(B56,'Stammdaten'!$A$2:$C$31,3,FALSE)</f>
        <v>Reinigung</v>
      </c>
    </row>
    <row r="57" ht="18.5" customHeight="1">
      <c r="A57" t="s" s="10">
        <v>146</v>
      </c>
      <c r="B57" t="s" s="10">
        <v>44</v>
      </c>
      <c r="C57" t="s" s="10">
        <v>63</v>
      </c>
      <c r="D57" s="18">
        <v>2023</v>
      </c>
      <c r="E57" t="s" s="10">
        <v>117</v>
      </c>
      <c r="F57" s="18">
        <v>159.2</v>
      </c>
      <c r="G57" s="18">
        <v>16</v>
      </c>
      <c r="H57" t="str" s="19" cm="1">
        <f t="array" ref="H57">VLOOKUP(B57,'Stammdaten'!$A$2:$C$31,3,FALSE)</f>
        <v>Reinigung</v>
      </c>
    </row>
    <row r="58" ht="18.5" customHeight="1">
      <c r="A58" t="s" s="10">
        <v>147</v>
      </c>
      <c r="B58" t="s" s="10">
        <v>33</v>
      </c>
      <c r="C58" t="s" s="10">
        <v>63</v>
      </c>
      <c r="D58" s="18">
        <v>2023</v>
      </c>
      <c r="E58" t="s" s="10">
        <v>83</v>
      </c>
      <c r="F58" s="18">
        <v>100.1</v>
      </c>
      <c r="G58" s="18">
        <v>20</v>
      </c>
      <c r="H58" t="str" s="19" cm="1">
        <f t="array" ref="H58">VLOOKUP(B58,'Stammdaten'!$A$2:$C$31,3,FALSE)</f>
        <v>Versand</v>
      </c>
    </row>
    <row r="59" ht="18.5" customHeight="1">
      <c r="A59" t="s" s="10">
        <v>148</v>
      </c>
      <c r="B59" t="s" s="10">
        <v>51</v>
      </c>
      <c r="C59" t="s" s="10">
        <v>90</v>
      </c>
      <c r="D59" s="18">
        <v>2023</v>
      </c>
      <c r="E59" t="s" s="10">
        <v>83</v>
      </c>
      <c r="F59" s="18">
        <v>102.1</v>
      </c>
      <c r="G59" s="18">
        <v>43</v>
      </c>
      <c r="H59" t="str" s="19" cm="1">
        <f t="array" ref="H59">VLOOKUP(B59,'Stammdaten'!$A$2:$C$31,3,FALSE)</f>
        <v>Wartung</v>
      </c>
    </row>
    <row r="60" ht="18.5" customHeight="1">
      <c r="A60" t="s" s="10">
        <v>149</v>
      </c>
      <c r="B60" t="s" s="10">
        <v>16</v>
      </c>
      <c r="C60" t="s" s="10">
        <v>24</v>
      </c>
      <c r="D60" s="18">
        <v>2024</v>
      </c>
      <c r="E60" t="s" s="10">
        <v>87</v>
      </c>
      <c r="F60" s="18">
        <v>23.7</v>
      </c>
      <c r="G60" s="18">
        <v>36</v>
      </c>
      <c r="H60" t="str" s="19" cm="1">
        <f t="array" ref="H60">VLOOKUP(B60,'Stammdaten'!$A$2:$C$31,3,FALSE)</f>
        <v>Lager</v>
      </c>
    </row>
    <row r="61" ht="18.5" customHeight="1">
      <c r="A61" t="s" s="10">
        <v>150</v>
      </c>
      <c r="B61" t="s" s="10">
        <v>18</v>
      </c>
      <c r="C61" t="s" s="10">
        <v>63</v>
      </c>
      <c r="D61" s="18">
        <v>2024</v>
      </c>
      <c r="E61" t="s" s="10">
        <v>83</v>
      </c>
      <c r="F61" s="18">
        <v>130.6</v>
      </c>
      <c r="G61" s="18">
        <v>14</v>
      </c>
      <c r="H61" t="str" s="19" cm="1">
        <f t="array" ref="H61">VLOOKUP(B61,'Stammdaten'!$A$2:$C$31,3,FALSE)</f>
        <v>Lager</v>
      </c>
    </row>
    <row r="62" ht="18.5" customHeight="1">
      <c r="A62" t="s" s="10">
        <v>151</v>
      </c>
      <c r="B62" t="s" s="10">
        <v>55</v>
      </c>
      <c r="C62" t="s" s="10">
        <v>63</v>
      </c>
      <c r="D62" s="18">
        <v>2025</v>
      </c>
      <c r="E62" t="s" s="10">
        <v>83</v>
      </c>
      <c r="F62" s="18">
        <v>163.4</v>
      </c>
      <c r="G62" s="18">
        <v>4</v>
      </c>
      <c r="H62" t="str" s="19" cm="1">
        <f t="array" ref="H62">VLOOKUP(B62,'Stammdaten'!$A$2:$C$31,3,FALSE)</f>
        <v>Wartung</v>
      </c>
    </row>
    <row r="63" ht="18.5" customHeight="1">
      <c r="A63" t="s" s="10">
        <v>152</v>
      </c>
      <c r="B63" t="s" s="10">
        <v>14</v>
      </c>
      <c r="C63" t="s" s="10">
        <v>50</v>
      </c>
      <c r="D63" s="18">
        <v>2024</v>
      </c>
      <c r="E63" t="s" s="10">
        <v>87</v>
      </c>
      <c r="F63" s="18">
        <v>63.4</v>
      </c>
      <c r="G63" s="18">
        <v>9</v>
      </c>
      <c r="H63" t="str" s="19" cm="1">
        <f t="array" ref="H63">VLOOKUP(B63,'Stammdaten'!$A$2:$C$31,3,FALSE)</f>
        <v>Lager</v>
      </c>
    </row>
    <row r="64" ht="18.5" customHeight="1">
      <c r="A64" t="s" s="10">
        <v>153</v>
      </c>
      <c r="B64" t="s" s="10">
        <v>53</v>
      </c>
      <c r="C64" t="s" s="10">
        <v>63</v>
      </c>
      <c r="D64" s="18">
        <v>2023</v>
      </c>
      <c r="E64" t="s" s="10">
        <v>83</v>
      </c>
      <c r="F64" s="18">
        <v>101.5</v>
      </c>
      <c r="G64" s="18">
        <v>28</v>
      </c>
      <c r="H64" t="str" s="19" cm="1">
        <f t="array" ref="H64">VLOOKUP(B64,'Stammdaten'!$A$2:$C$31,3,FALSE)</f>
        <v>Wartung</v>
      </c>
    </row>
    <row r="65" ht="18.5" customHeight="1">
      <c r="A65" t="s" s="10">
        <v>154</v>
      </c>
      <c r="B65" t="s" s="10">
        <v>46</v>
      </c>
      <c r="C65" t="s" s="10">
        <v>11</v>
      </c>
      <c r="D65" s="18">
        <v>2023</v>
      </c>
      <c r="E65" t="s" s="10">
        <v>87</v>
      </c>
      <c r="F65" s="18">
        <v>159.5</v>
      </c>
      <c r="G65" s="18">
        <v>10</v>
      </c>
      <c r="H65" t="str" s="19" cm="1">
        <f t="array" ref="H65">VLOOKUP(B65,'Stammdaten'!$A$2:$C$31,3,FALSE)</f>
        <v>Reinigung</v>
      </c>
    </row>
    <row r="66" ht="18.5" customHeight="1">
      <c r="A66" t="s" s="10">
        <v>155</v>
      </c>
      <c r="B66" t="s" s="10">
        <v>46</v>
      </c>
      <c r="C66" t="s" s="10">
        <v>11</v>
      </c>
      <c r="D66" s="18">
        <v>2024</v>
      </c>
      <c r="E66" t="s" s="10">
        <v>83</v>
      </c>
      <c r="F66" s="18">
        <v>30.9</v>
      </c>
      <c r="G66" s="18">
        <v>9</v>
      </c>
      <c r="H66" t="str" s="19" cm="1">
        <f t="array" ref="H66">VLOOKUP(B66,'Stammdaten'!$A$2:$C$31,3,FALSE)</f>
        <v>Reinigung</v>
      </c>
    </row>
    <row r="67" ht="18.5" customHeight="1">
      <c r="A67" t="s" s="10">
        <v>156</v>
      </c>
      <c r="B67" t="s" s="10">
        <v>12</v>
      </c>
      <c r="C67" t="s" s="10">
        <v>63</v>
      </c>
      <c r="D67" s="18">
        <v>2024</v>
      </c>
      <c r="E67" t="s" s="10">
        <v>83</v>
      </c>
      <c r="F67" s="18">
        <v>144.3</v>
      </c>
      <c r="G67" s="18">
        <v>3</v>
      </c>
      <c r="H67" t="str" s="19" cm="1">
        <f t="array" ref="H67">VLOOKUP(B67,'Stammdaten'!$A$2:$C$31,3,FALSE)</f>
        <v>Lager</v>
      </c>
    </row>
    <row r="68" ht="18.5" customHeight="1">
      <c r="A68" t="s" s="10">
        <v>157</v>
      </c>
      <c r="B68" t="s" s="10">
        <v>70</v>
      </c>
      <c r="C68" t="s" s="10">
        <v>63</v>
      </c>
      <c r="D68" s="18">
        <v>2023</v>
      </c>
      <c r="E68" t="s" s="10">
        <v>83</v>
      </c>
      <c r="F68" s="18">
        <v>121.7</v>
      </c>
      <c r="G68" s="18">
        <v>23</v>
      </c>
      <c r="H68" t="str" s="19" cm="1">
        <f t="array" ref="H68">VLOOKUP(B68,'Stammdaten'!$A$2:$C$31,3,FALSE)</f>
        <v>Produktion</v>
      </c>
    </row>
    <row r="69" ht="18.5" customHeight="1">
      <c r="A69" t="s" s="10">
        <v>158</v>
      </c>
      <c r="B69" t="s" s="10">
        <v>61</v>
      </c>
      <c r="C69" t="s" s="10">
        <v>90</v>
      </c>
      <c r="D69" s="18">
        <v>2024</v>
      </c>
      <c r="E69" t="s" s="10">
        <v>117</v>
      </c>
      <c r="F69" s="18">
        <v>136.2</v>
      </c>
      <c r="G69" s="18">
        <v>16</v>
      </c>
      <c r="H69" t="str" s="19" cm="1">
        <f t="array" ref="H69">VLOOKUP(B69,'Stammdaten'!$A$2:$C$31,3,FALSE)</f>
        <v>Produktion</v>
      </c>
    </row>
    <row r="70" ht="18.5" customHeight="1">
      <c r="A70" t="s" s="10">
        <v>159</v>
      </c>
      <c r="B70" t="s" s="10">
        <v>68</v>
      </c>
      <c r="C70" t="s" s="10">
        <v>24</v>
      </c>
      <c r="D70" s="18">
        <v>2023</v>
      </c>
      <c r="E70" t="s" s="10">
        <v>83</v>
      </c>
      <c r="F70" s="18">
        <v>9.300000000000001</v>
      </c>
      <c r="G70" s="18">
        <v>48</v>
      </c>
      <c r="H70" t="str" s="19" cm="1">
        <f t="array" ref="H70">VLOOKUP(B70,'Stammdaten'!$A$2:$C$31,3,FALSE)</f>
        <v>Produktion</v>
      </c>
    </row>
    <row r="71" ht="18.5" customHeight="1">
      <c r="A71" t="s" s="10">
        <v>160</v>
      </c>
      <c r="B71" t="s" s="10">
        <v>72</v>
      </c>
      <c r="C71" t="s" s="10">
        <v>63</v>
      </c>
      <c r="D71" s="18">
        <v>2024</v>
      </c>
      <c r="E71" t="s" s="10">
        <v>83</v>
      </c>
      <c r="F71" s="18">
        <v>156.2</v>
      </c>
      <c r="G71" s="18">
        <v>16</v>
      </c>
      <c r="H71" t="str" s="19" cm="1">
        <f t="array" ref="H71">VLOOKUP(B71,'Stammdaten'!$A$2:$C$31,3,FALSE)</f>
        <v>Produktion</v>
      </c>
    </row>
    <row r="72" ht="18.5" customHeight="1">
      <c r="A72" t="s" s="10">
        <v>161</v>
      </c>
      <c r="B72" t="s" s="10">
        <v>27</v>
      </c>
      <c r="C72" t="s" s="10">
        <v>24</v>
      </c>
      <c r="D72" s="18">
        <v>2025</v>
      </c>
      <c r="E72" t="s" s="10">
        <v>87</v>
      </c>
      <c r="F72" s="18">
        <v>157.6</v>
      </c>
      <c r="G72" s="18">
        <v>31</v>
      </c>
      <c r="H72" t="str" s="19" cm="1">
        <f t="array" ref="H72">VLOOKUP(B72,'Stammdaten'!$A$2:$C$31,3,FALSE)</f>
        <v>Versand</v>
      </c>
    </row>
    <row r="73" ht="18.5" customHeight="1">
      <c r="A73" t="s" s="10">
        <v>162</v>
      </c>
      <c r="B73" t="s" s="10">
        <v>25</v>
      </c>
      <c r="C73" t="s" s="10">
        <v>24</v>
      </c>
      <c r="D73" s="18">
        <v>2024</v>
      </c>
      <c r="E73" t="s" s="10">
        <v>87</v>
      </c>
      <c r="F73" s="18">
        <v>148.6</v>
      </c>
      <c r="G73" s="18">
        <v>15</v>
      </c>
      <c r="H73" t="str" s="19" cm="1">
        <f t="array" ref="H73">VLOOKUP(B73,'Stammdaten'!$A$2:$C$31,3,FALSE)</f>
        <v>Versand</v>
      </c>
    </row>
    <row r="74" ht="18.5" customHeight="1">
      <c r="A74" t="s" s="10">
        <v>163</v>
      </c>
      <c r="B74" t="s" s="10">
        <v>25</v>
      </c>
      <c r="C74" t="s" s="10">
        <v>11</v>
      </c>
      <c r="D74" s="18">
        <v>2025</v>
      </c>
      <c r="E74" t="s" s="10">
        <v>87</v>
      </c>
      <c r="F74" s="18">
        <v>62.4</v>
      </c>
      <c r="G74" s="18">
        <v>5</v>
      </c>
      <c r="H74" t="str" s="19" cm="1">
        <f t="array" ref="H74">VLOOKUP(B74,'Stammdaten'!$A$2:$C$31,3,FALSE)</f>
        <v>Versand</v>
      </c>
    </row>
    <row r="75" ht="18.5" customHeight="1">
      <c r="A75" t="s" s="10">
        <v>164</v>
      </c>
      <c r="B75" t="s" s="10">
        <v>61</v>
      </c>
      <c r="C75" t="s" s="10">
        <v>63</v>
      </c>
      <c r="D75" s="18">
        <v>2024</v>
      </c>
      <c r="E75" t="s" s="10">
        <v>83</v>
      </c>
      <c r="F75" s="18">
        <v>74.90000000000001</v>
      </c>
      <c r="G75" s="18">
        <v>35</v>
      </c>
      <c r="H75" t="str" s="19" cm="1">
        <f t="array" ref="H75">VLOOKUP(B75,'Stammdaten'!$A$2:$C$31,3,FALSE)</f>
        <v>Produktion</v>
      </c>
    </row>
    <row r="76" ht="18.5" customHeight="1">
      <c r="A76" t="s" s="10">
        <v>165</v>
      </c>
      <c r="B76" t="s" s="10">
        <v>31</v>
      </c>
      <c r="C76" t="s" s="10">
        <v>11</v>
      </c>
      <c r="D76" s="18">
        <v>2023</v>
      </c>
      <c r="E76" t="s" s="10">
        <v>83</v>
      </c>
      <c r="F76" s="18">
        <v>50.7</v>
      </c>
      <c r="G76" s="18">
        <v>38</v>
      </c>
      <c r="H76" t="str" s="19" cm="1">
        <f t="array" ref="H76">VLOOKUP(B76,'Stammdaten'!$A$2:$C$31,3,FALSE)</f>
        <v>Versand</v>
      </c>
    </row>
    <row r="77" ht="18.5" customHeight="1">
      <c r="A77" t="s" s="10">
        <v>166</v>
      </c>
      <c r="B77" t="s" s="10">
        <v>27</v>
      </c>
      <c r="C77" t="s" s="10">
        <v>11</v>
      </c>
      <c r="D77" s="18">
        <v>2023</v>
      </c>
      <c r="E77" t="s" s="10">
        <v>83</v>
      </c>
      <c r="F77" s="18">
        <v>65.5</v>
      </c>
      <c r="G77" s="18">
        <v>21</v>
      </c>
      <c r="H77" t="str" s="19" cm="1">
        <f t="array" ref="H77">VLOOKUP(B77,'Stammdaten'!$A$2:$C$31,3,FALSE)</f>
        <v>Versand</v>
      </c>
    </row>
    <row r="78" ht="18.5" customHeight="1">
      <c r="A78" t="s" s="10">
        <v>167</v>
      </c>
      <c r="B78" t="s" s="10">
        <v>38</v>
      </c>
      <c r="C78" t="s" s="10">
        <v>90</v>
      </c>
      <c r="D78" s="18">
        <v>2025</v>
      </c>
      <c r="E78" t="s" s="10">
        <v>87</v>
      </c>
      <c r="F78" s="18">
        <v>162.4</v>
      </c>
      <c r="G78" s="18">
        <v>13</v>
      </c>
      <c r="H78" t="str" s="19" cm="1">
        <f t="array" ref="H78">VLOOKUP(B78,'Stammdaten'!$A$2:$C$31,3,FALSE)</f>
        <v>Reinigung</v>
      </c>
    </row>
    <row r="79" ht="18.5" customHeight="1">
      <c r="A79" t="s" s="10">
        <v>168</v>
      </c>
      <c r="B79" t="s" s="10">
        <v>27</v>
      </c>
      <c r="C79" t="s" s="10">
        <v>11</v>
      </c>
      <c r="D79" s="18">
        <v>2025</v>
      </c>
      <c r="E79" t="s" s="10">
        <v>83</v>
      </c>
      <c r="F79" s="18">
        <v>96</v>
      </c>
      <c r="G79" s="18">
        <v>35</v>
      </c>
      <c r="H79" t="str" s="19" cm="1">
        <f t="array" ref="H79">VLOOKUP(B79,'Stammdaten'!$A$2:$C$31,3,FALSE)</f>
        <v>Versand</v>
      </c>
    </row>
    <row r="80" ht="18.5" customHeight="1">
      <c r="A80" t="s" s="10">
        <v>169</v>
      </c>
      <c r="B80" t="s" s="10">
        <v>55</v>
      </c>
      <c r="C80" t="s" s="10">
        <v>24</v>
      </c>
      <c r="D80" s="18">
        <v>2024</v>
      </c>
      <c r="E80" t="s" s="10">
        <v>83</v>
      </c>
      <c r="F80" s="18">
        <v>171.1</v>
      </c>
      <c r="G80" s="18">
        <v>22</v>
      </c>
      <c r="H80" t="str" s="19" cm="1">
        <f t="array" ref="H80">VLOOKUP(B80,'Stammdaten'!$A$2:$C$31,3,FALSE)</f>
        <v>Wartung</v>
      </c>
    </row>
    <row r="81" ht="18.5" customHeight="1">
      <c r="A81" t="s" s="10">
        <v>170</v>
      </c>
      <c r="B81" t="s" s="10">
        <v>51</v>
      </c>
      <c r="C81" t="s" s="10">
        <v>63</v>
      </c>
      <c r="D81" s="18">
        <v>2025</v>
      </c>
      <c r="E81" t="s" s="10">
        <v>83</v>
      </c>
      <c r="F81" s="18">
        <v>131</v>
      </c>
      <c r="G81" s="18">
        <v>20</v>
      </c>
      <c r="H81" t="str" s="19" cm="1">
        <f t="array" ref="H81">VLOOKUP(B81,'Stammdaten'!$A$2:$C$31,3,FALSE)</f>
        <v>Wartung</v>
      </c>
    </row>
    <row r="82" ht="18.5" customHeight="1">
      <c r="A82" t="s" s="10">
        <v>171</v>
      </c>
      <c r="B82" t="s" s="10">
        <v>44</v>
      </c>
      <c r="C82" t="s" s="10">
        <v>63</v>
      </c>
      <c r="D82" s="18">
        <v>2025</v>
      </c>
      <c r="E82" t="s" s="10">
        <v>83</v>
      </c>
      <c r="F82" s="18">
        <v>75.40000000000001</v>
      </c>
      <c r="G82" s="18">
        <v>19</v>
      </c>
      <c r="H82" t="str" s="19" cm="1">
        <f t="array" ref="H82">VLOOKUP(B82,'Stammdaten'!$A$2:$C$31,3,FALSE)</f>
        <v>Reinigung</v>
      </c>
    </row>
    <row r="83" ht="18.5" customHeight="1">
      <c r="A83" t="s" s="10">
        <v>172</v>
      </c>
      <c r="B83" t="s" s="10">
        <v>46</v>
      </c>
      <c r="C83" t="s" s="10">
        <v>24</v>
      </c>
      <c r="D83" s="18">
        <v>2023</v>
      </c>
      <c r="E83" t="s" s="10">
        <v>83</v>
      </c>
      <c r="F83" s="18">
        <v>169.6</v>
      </c>
      <c r="G83" s="18">
        <v>44</v>
      </c>
      <c r="H83" t="str" s="19" cm="1">
        <f t="array" ref="H83">VLOOKUP(B83,'Stammdaten'!$A$2:$C$31,3,FALSE)</f>
        <v>Reinigung</v>
      </c>
    </row>
    <row r="84" ht="18.5" customHeight="1">
      <c r="A84" t="s" s="10">
        <v>173</v>
      </c>
      <c r="B84" t="s" s="10">
        <v>59</v>
      </c>
      <c r="C84" t="s" s="10">
        <v>24</v>
      </c>
      <c r="D84" s="18">
        <v>2025</v>
      </c>
      <c r="E84" t="s" s="10">
        <v>83</v>
      </c>
      <c r="F84" s="18">
        <v>76.09999999999999</v>
      </c>
      <c r="G84" s="18">
        <v>1</v>
      </c>
      <c r="H84" t="str" s="19" cm="1">
        <f t="array" ref="H84">VLOOKUP(B84,'Stammdaten'!$A$2:$C$31,3,FALSE)</f>
        <v>Wartung</v>
      </c>
    </row>
    <row r="85" ht="18.5" customHeight="1">
      <c r="A85" t="s" s="10">
        <v>174</v>
      </c>
      <c r="B85" t="s" s="10">
        <v>29</v>
      </c>
      <c r="C85" t="s" s="10">
        <v>63</v>
      </c>
      <c r="D85" s="18">
        <v>2023</v>
      </c>
      <c r="E85" t="s" s="10">
        <v>83</v>
      </c>
      <c r="F85" s="18">
        <v>106.5</v>
      </c>
      <c r="G85" s="18">
        <v>42</v>
      </c>
      <c r="H85" t="str" s="19" cm="1">
        <f t="array" ref="H85">VLOOKUP(B85,'Stammdaten'!$A$2:$C$31,3,FALSE)</f>
        <v>Versand</v>
      </c>
    </row>
    <row r="86" ht="18.5" customHeight="1">
      <c r="A86" t="s" s="10">
        <v>175</v>
      </c>
      <c r="B86" t="s" s="10">
        <v>31</v>
      </c>
      <c r="C86" t="s" s="10">
        <v>50</v>
      </c>
      <c r="D86" s="18">
        <v>2024</v>
      </c>
      <c r="E86" t="s" s="10">
        <v>83</v>
      </c>
      <c r="F86" s="18">
        <v>42.4</v>
      </c>
      <c r="G86" s="18">
        <v>31</v>
      </c>
      <c r="H86" t="str" s="19" cm="1">
        <f t="array" ref="H86">VLOOKUP(B86,'Stammdaten'!$A$2:$C$31,3,FALSE)</f>
        <v>Versand</v>
      </c>
    </row>
    <row r="87" ht="18.5" customHeight="1">
      <c r="A87" t="s" s="10">
        <v>176</v>
      </c>
      <c r="B87" t="s" s="10">
        <v>64</v>
      </c>
      <c r="C87" t="s" s="10">
        <v>24</v>
      </c>
      <c r="D87" s="18">
        <v>2025</v>
      </c>
      <c r="E87" t="s" s="10">
        <v>87</v>
      </c>
      <c r="F87" s="18">
        <v>95.2</v>
      </c>
      <c r="G87" s="18">
        <v>41</v>
      </c>
      <c r="H87" t="str" s="19" cm="1">
        <f t="array" ref="H87">VLOOKUP(B87,'Stammdaten'!$A$2:$C$31,3,FALSE)</f>
        <v>Produktion</v>
      </c>
    </row>
    <row r="88" ht="18.5" customHeight="1">
      <c r="A88" t="s" s="10">
        <v>177</v>
      </c>
      <c r="B88" t="s" s="10">
        <v>51</v>
      </c>
      <c r="C88" t="s" s="10">
        <v>63</v>
      </c>
      <c r="D88" s="18">
        <v>2023</v>
      </c>
      <c r="E88" t="s" s="10">
        <v>83</v>
      </c>
      <c r="F88" s="18">
        <v>136.4</v>
      </c>
      <c r="G88" s="18">
        <v>44</v>
      </c>
      <c r="H88" t="str" s="19" cm="1">
        <f t="array" ref="H88">VLOOKUP(B88,'Stammdaten'!$A$2:$C$31,3,FALSE)</f>
        <v>Wartung</v>
      </c>
    </row>
    <row r="89" ht="18.5" customHeight="1">
      <c r="A89" t="s" s="10">
        <v>178</v>
      </c>
      <c r="B89" t="s" s="10">
        <v>29</v>
      </c>
      <c r="C89" t="s" s="10">
        <v>24</v>
      </c>
      <c r="D89" s="18">
        <v>2023</v>
      </c>
      <c r="E89" t="s" s="10">
        <v>87</v>
      </c>
      <c r="F89" s="18">
        <v>13.1</v>
      </c>
      <c r="G89" s="18">
        <v>31</v>
      </c>
      <c r="H89" t="str" s="19" cm="1">
        <f t="array" ref="H89">VLOOKUP(B89,'Stammdaten'!$A$2:$C$31,3,FALSE)</f>
        <v>Versand</v>
      </c>
    </row>
    <row r="90" ht="18.5" customHeight="1">
      <c r="A90" t="s" s="10">
        <v>179</v>
      </c>
      <c r="B90" t="s" s="10">
        <v>51</v>
      </c>
      <c r="C90" t="s" s="10">
        <v>11</v>
      </c>
      <c r="D90" s="18">
        <v>2024</v>
      </c>
      <c r="E90" t="s" s="10">
        <v>83</v>
      </c>
      <c r="F90" s="18">
        <v>115.2</v>
      </c>
      <c r="G90" s="18">
        <v>13</v>
      </c>
      <c r="H90" t="str" s="19" cm="1">
        <f t="array" ref="H90">VLOOKUP(B90,'Stammdaten'!$A$2:$C$31,3,FALSE)</f>
        <v>Wartung</v>
      </c>
    </row>
    <row r="91" ht="18.5" customHeight="1">
      <c r="A91" t="s" s="10">
        <v>180</v>
      </c>
      <c r="B91" t="s" s="10">
        <v>57</v>
      </c>
      <c r="C91" t="s" s="10">
        <v>50</v>
      </c>
      <c r="D91" s="18">
        <v>2024</v>
      </c>
      <c r="E91" t="s" s="10">
        <v>83</v>
      </c>
      <c r="F91" s="18">
        <v>30.8</v>
      </c>
      <c r="G91" s="18">
        <v>45</v>
      </c>
      <c r="H91" t="str" s="19" cm="1">
        <f t="array" ref="H91">VLOOKUP(B91,'Stammdaten'!$A$2:$C$31,3,FALSE)</f>
        <v>Wartung</v>
      </c>
    </row>
    <row r="92" ht="18.5" customHeight="1">
      <c r="A92" t="s" s="10">
        <v>181</v>
      </c>
      <c r="B92" t="s" s="10">
        <v>9</v>
      </c>
      <c r="C92" t="s" s="10">
        <v>11</v>
      </c>
      <c r="D92" s="18">
        <v>2024</v>
      </c>
      <c r="E92" t="s" s="10">
        <v>87</v>
      </c>
      <c r="F92" s="18">
        <v>145.7</v>
      </c>
      <c r="G92" s="18">
        <v>45</v>
      </c>
      <c r="H92" t="str" s="19" cm="1">
        <f t="array" ref="H92">VLOOKUP(B92,'Stammdaten'!$A$2:$C$31,3,FALSE)</f>
        <v>Lager</v>
      </c>
    </row>
    <row r="93" ht="18.5" customHeight="1">
      <c r="A93" t="s" s="10">
        <v>182</v>
      </c>
      <c r="B93" t="s" s="10">
        <v>44</v>
      </c>
      <c r="C93" t="s" s="10">
        <v>50</v>
      </c>
      <c r="D93" s="18">
        <v>2023</v>
      </c>
      <c r="E93" t="s" s="10">
        <v>83</v>
      </c>
      <c r="F93" s="18">
        <v>165.6</v>
      </c>
      <c r="G93" s="18">
        <v>8</v>
      </c>
      <c r="H93" t="str" s="19" cm="1">
        <f t="array" ref="H93">VLOOKUP(B93,'Stammdaten'!$A$2:$C$31,3,FALSE)</f>
        <v>Reinigung</v>
      </c>
    </row>
    <row r="94" ht="18.5" customHeight="1">
      <c r="A94" t="s" s="10">
        <v>183</v>
      </c>
      <c r="B94" t="s" s="10">
        <v>40</v>
      </c>
      <c r="C94" t="s" s="10">
        <v>24</v>
      </c>
      <c r="D94" s="18">
        <v>2024</v>
      </c>
      <c r="E94" t="s" s="10">
        <v>83</v>
      </c>
      <c r="F94" s="18">
        <v>177.9</v>
      </c>
      <c r="G94" s="18">
        <v>39</v>
      </c>
      <c r="H94" t="str" s="19" cm="1">
        <f t="array" ref="H94">VLOOKUP(B94,'Stammdaten'!$A$2:$C$31,3,FALSE)</f>
        <v>Reinigung</v>
      </c>
    </row>
    <row r="95" ht="18.5" customHeight="1">
      <c r="A95" t="s" s="10">
        <v>184</v>
      </c>
      <c r="B95" t="s" s="10">
        <v>31</v>
      </c>
      <c r="C95" t="s" s="10">
        <v>50</v>
      </c>
      <c r="D95" s="18">
        <v>2025</v>
      </c>
      <c r="E95" t="s" s="10">
        <v>83</v>
      </c>
      <c r="F95" s="18">
        <v>161.1</v>
      </c>
      <c r="G95" s="18">
        <v>28</v>
      </c>
      <c r="H95" t="str" s="19" cm="1">
        <f t="array" ref="H95">VLOOKUP(B95,'Stammdaten'!$A$2:$C$31,3,FALSE)</f>
        <v>Versand</v>
      </c>
    </row>
    <row r="96" ht="18.5" customHeight="1">
      <c r="A96" t="s" s="10">
        <v>185</v>
      </c>
      <c r="B96" t="s" s="10">
        <v>66</v>
      </c>
      <c r="C96" t="s" s="10">
        <v>90</v>
      </c>
      <c r="D96" s="18">
        <v>2024</v>
      </c>
      <c r="E96" t="s" s="10">
        <v>83</v>
      </c>
      <c r="F96" s="18">
        <v>135.1</v>
      </c>
      <c r="G96" s="18">
        <v>31</v>
      </c>
      <c r="H96" t="str" s="19" cm="1">
        <f t="array" ref="H96">VLOOKUP(B96,'Stammdaten'!$A$2:$C$31,3,FALSE)</f>
        <v>Produktion</v>
      </c>
    </row>
    <row r="97" ht="18.5" customHeight="1">
      <c r="A97" t="s" s="10">
        <v>186</v>
      </c>
      <c r="B97" t="s" s="10">
        <v>40</v>
      </c>
      <c r="C97" t="s" s="10">
        <v>63</v>
      </c>
      <c r="D97" s="18">
        <v>2023</v>
      </c>
      <c r="E97" t="s" s="10">
        <v>83</v>
      </c>
      <c r="F97" s="18">
        <v>53.5</v>
      </c>
      <c r="G97" s="18">
        <v>50</v>
      </c>
      <c r="H97" t="str" s="19" cm="1">
        <f t="array" ref="H97">VLOOKUP(B97,'Stammdaten'!$A$2:$C$31,3,FALSE)</f>
        <v>Reinigung</v>
      </c>
    </row>
    <row r="98" ht="18.5" customHeight="1">
      <c r="A98" t="s" s="10">
        <v>187</v>
      </c>
      <c r="B98" t="s" s="10">
        <v>44</v>
      </c>
      <c r="C98" t="s" s="10">
        <v>50</v>
      </c>
      <c r="D98" s="18">
        <v>2025</v>
      </c>
      <c r="E98" t="s" s="10">
        <v>87</v>
      </c>
      <c r="F98" s="18">
        <v>82</v>
      </c>
      <c r="G98" s="18">
        <v>46</v>
      </c>
      <c r="H98" t="str" s="19" cm="1">
        <f t="array" ref="H98">VLOOKUP(B98,'Stammdaten'!$A$2:$C$31,3,FALSE)</f>
        <v>Reinigung</v>
      </c>
    </row>
    <row r="99" ht="18.5" customHeight="1">
      <c r="A99" t="s" s="10">
        <v>188</v>
      </c>
      <c r="B99" t="s" s="10">
        <v>29</v>
      </c>
      <c r="C99" t="s" s="10">
        <v>24</v>
      </c>
      <c r="D99" s="18">
        <v>2024</v>
      </c>
      <c r="E99" t="s" s="10">
        <v>87</v>
      </c>
      <c r="F99" s="18">
        <v>161.3</v>
      </c>
      <c r="G99" s="18">
        <v>6</v>
      </c>
      <c r="H99" t="str" s="19" cm="1">
        <f t="array" ref="H99">VLOOKUP(B99,'Stammdaten'!$A$2:$C$31,3,FALSE)</f>
        <v>Versand</v>
      </c>
    </row>
    <row r="100" ht="18.5" customHeight="1">
      <c r="A100" t="s" s="10">
        <v>189</v>
      </c>
      <c r="B100" t="s" s="10">
        <v>18</v>
      </c>
      <c r="C100" t="s" s="10">
        <v>24</v>
      </c>
      <c r="D100" s="18">
        <v>2023</v>
      </c>
      <c r="E100" t="s" s="10">
        <v>83</v>
      </c>
      <c r="F100" s="18">
        <v>31.7</v>
      </c>
      <c r="G100" s="18">
        <v>14</v>
      </c>
      <c r="H100" t="str" s="19" cm="1">
        <f t="array" ref="H100">VLOOKUP(B100,'Stammdaten'!$A$2:$C$31,3,FALSE)</f>
        <v>Lager</v>
      </c>
    </row>
    <row r="101" ht="18.5" customHeight="1">
      <c r="A101" t="s" s="10">
        <v>190</v>
      </c>
      <c r="B101" t="s" s="10">
        <v>14</v>
      </c>
      <c r="C101" t="s" s="10">
        <v>50</v>
      </c>
      <c r="D101" s="18">
        <v>2024</v>
      </c>
      <c r="E101" t="s" s="10">
        <v>87</v>
      </c>
      <c r="F101" s="18">
        <v>86.5</v>
      </c>
      <c r="G101" s="18">
        <v>4</v>
      </c>
      <c r="H101" t="str" s="19" cm="1">
        <f t="array" ref="H101">VLOOKUP(B101,'Stammdaten'!$A$2:$C$31,3,FALSE)</f>
        <v>Lager</v>
      </c>
    </row>
    <row r="102" ht="18.5" customHeight="1">
      <c r="A102" t="s" s="10">
        <v>191</v>
      </c>
      <c r="B102" t="s" s="10">
        <v>22</v>
      </c>
      <c r="C102" t="s" s="10">
        <v>50</v>
      </c>
      <c r="D102" s="18">
        <v>2024</v>
      </c>
      <c r="E102" t="s" s="10">
        <v>117</v>
      </c>
      <c r="F102" s="18">
        <v>107.2</v>
      </c>
      <c r="G102" s="18">
        <v>45</v>
      </c>
      <c r="H102" t="str" s="19" cm="1">
        <f t="array" ref="H102">VLOOKUP(B102,'Stammdaten'!$A$2:$C$31,3,FALSE)</f>
        <v>Versand</v>
      </c>
    </row>
    <row r="103" ht="18.5" customHeight="1">
      <c r="A103" t="s" s="10">
        <v>192</v>
      </c>
      <c r="B103" t="s" s="10">
        <v>9</v>
      </c>
      <c r="C103" t="s" s="10">
        <v>90</v>
      </c>
      <c r="D103" s="18">
        <v>2024</v>
      </c>
      <c r="E103" t="s" s="10">
        <v>83</v>
      </c>
      <c r="F103" s="18">
        <v>170</v>
      </c>
      <c r="G103" s="18">
        <v>20</v>
      </c>
      <c r="H103" t="str" s="19" cm="1">
        <f t="array" ref="H103">VLOOKUP(B103,'Stammdaten'!$A$2:$C$31,3,FALSE)</f>
        <v>Lager</v>
      </c>
    </row>
    <row r="104" ht="18.5" customHeight="1">
      <c r="A104" t="s" s="10">
        <v>193</v>
      </c>
      <c r="B104" t="s" s="10">
        <v>61</v>
      </c>
      <c r="C104" t="s" s="10">
        <v>50</v>
      </c>
      <c r="D104" s="18">
        <v>2024</v>
      </c>
      <c r="E104" t="s" s="10">
        <v>83</v>
      </c>
      <c r="F104" s="18">
        <v>133.6</v>
      </c>
      <c r="G104" s="18">
        <v>39</v>
      </c>
      <c r="H104" t="str" s="19" cm="1">
        <f t="array" ref="H104">VLOOKUP(B104,'Stammdaten'!$A$2:$C$31,3,FALSE)</f>
        <v>Produktion</v>
      </c>
    </row>
    <row r="105" ht="18.5" customHeight="1">
      <c r="A105" t="s" s="10">
        <v>194</v>
      </c>
      <c r="B105" t="s" s="10">
        <v>70</v>
      </c>
      <c r="C105" t="s" s="10">
        <v>24</v>
      </c>
      <c r="D105" s="18">
        <v>2024</v>
      </c>
      <c r="E105" t="s" s="10">
        <v>87</v>
      </c>
      <c r="F105" s="18">
        <v>81.3</v>
      </c>
      <c r="G105" s="18">
        <v>2</v>
      </c>
      <c r="H105" t="str" s="19" cm="1">
        <f t="array" ref="H105">VLOOKUP(B105,'Stammdaten'!$A$2:$C$31,3,FALSE)</f>
        <v>Produktion</v>
      </c>
    </row>
    <row r="106" ht="18.5" customHeight="1">
      <c r="A106" t="s" s="10">
        <v>195</v>
      </c>
      <c r="B106" t="s" s="10">
        <v>35</v>
      </c>
      <c r="C106" t="s" s="10">
        <v>63</v>
      </c>
      <c r="D106" s="18">
        <v>2025</v>
      </c>
      <c r="E106" t="s" s="10">
        <v>83</v>
      </c>
      <c r="F106" s="18">
        <v>75.8</v>
      </c>
      <c r="G106" s="18">
        <v>11</v>
      </c>
      <c r="H106" t="str" s="19" cm="1">
        <f t="array" ref="H106">VLOOKUP(B106,'Stammdaten'!$A$2:$C$31,3,FALSE)</f>
        <v>Reinigung</v>
      </c>
    </row>
    <row r="107" ht="18.5" customHeight="1">
      <c r="A107" t="s" s="10">
        <v>196</v>
      </c>
      <c r="B107" t="s" s="10">
        <v>66</v>
      </c>
      <c r="C107" t="s" s="10">
        <v>50</v>
      </c>
      <c r="D107" s="18">
        <v>2023</v>
      </c>
      <c r="E107" t="s" s="10">
        <v>117</v>
      </c>
      <c r="F107" s="18">
        <v>98.5</v>
      </c>
      <c r="G107" s="18">
        <v>26</v>
      </c>
      <c r="H107" t="str" s="19" cm="1">
        <f t="array" ref="H107">VLOOKUP(B107,'Stammdaten'!$A$2:$C$31,3,FALSE)</f>
        <v>Produktion</v>
      </c>
    </row>
    <row r="108" ht="18.5" customHeight="1">
      <c r="A108" t="s" s="10">
        <v>197</v>
      </c>
      <c r="B108" t="s" s="10">
        <v>48</v>
      </c>
      <c r="C108" t="s" s="10">
        <v>90</v>
      </c>
      <c r="D108" s="18">
        <v>2025</v>
      </c>
      <c r="E108" t="s" s="10">
        <v>87</v>
      </c>
      <c r="F108" s="18">
        <v>117.5</v>
      </c>
      <c r="G108" s="18">
        <v>9</v>
      </c>
      <c r="H108" t="str" s="19" cm="1">
        <f t="array" ref="H108">VLOOKUP(B108,'Stammdaten'!$A$2:$C$31,3,FALSE)</f>
        <v>Wartung</v>
      </c>
    </row>
    <row r="109" ht="18.5" customHeight="1">
      <c r="A109" t="s" s="10">
        <v>198</v>
      </c>
      <c r="B109" t="s" s="10">
        <v>68</v>
      </c>
      <c r="C109" t="s" s="10">
        <v>50</v>
      </c>
      <c r="D109" s="18">
        <v>2023</v>
      </c>
      <c r="E109" t="s" s="10">
        <v>87</v>
      </c>
      <c r="F109" s="18">
        <v>71.3</v>
      </c>
      <c r="G109" s="18">
        <v>14</v>
      </c>
      <c r="H109" t="str" s="19" cm="1">
        <f t="array" ref="H109">VLOOKUP(B109,'Stammdaten'!$A$2:$C$31,3,FALSE)</f>
        <v>Produktion</v>
      </c>
    </row>
    <row r="110" ht="18.5" customHeight="1">
      <c r="A110" t="s" s="10">
        <v>199</v>
      </c>
      <c r="B110" t="s" s="10">
        <v>40</v>
      </c>
      <c r="C110" t="s" s="10">
        <v>63</v>
      </c>
      <c r="D110" s="18">
        <v>2024</v>
      </c>
      <c r="E110" t="s" s="10">
        <v>83</v>
      </c>
      <c r="F110" s="18">
        <v>71.3</v>
      </c>
      <c r="G110" s="18">
        <v>49</v>
      </c>
      <c r="H110" t="str" s="19" cm="1">
        <f t="array" ref="H110">VLOOKUP(B110,'Stammdaten'!$A$2:$C$31,3,FALSE)</f>
        <v>Reinigung</v>
      </c>
    </row>
    <row r="111" ht="18.5" customHeight="1">
      <c r="A111" t="s" s="10">
        <v>200</v>
      </c>
      <c r="B111" t="s" s="10">
        <v>66</v>
      </c>
      <c r="C111" t="s" s="10">
        <v>50</v>
      </c>
      <c r="D111" s="18">
        <v>2024</v>
      </c>
      <c r="E111" t="s" s="10">
        <v>83</v>
      </c>
      <c r="F111" s="18">
        <v>87.3</v>
      </c>
      <c r="G111" s="18">
        <v>48</v>
      </c>
      <c r="H111" t="str" s="19" cm="1">
        <f t="array" ref="H111">VLOOKUP(B111,'Stammdaten'!$A$2:$C$31,3,FALSE)</f>
        <v>Produktion</v>
      </c>
    </row>
    <row r="112" ht="18.5" customHeight="1">
      <c r="A112" t="s" s="10">
        <v>201</v>
      </c>
      <c r="B112" t="s" s="10">
        <v>46</v>
      </c>
      <c r="C112" t="s" s="10">
        <v>11</v>
      </c>
      <c r="D112" s="18">
        <v>2024</v>
      </c>
      <c r="E112" t="s" s="10">
        <v>87</v>
      </c>
      <c r="F112" s="18">
        <v>17</v>
      </c>
      <c r="G112" s="18">
        <v>42</v>
      </c>
      <c r="H112" t="str" s="19" cm="1">
        <f t="array" ref="H112">VLOOKUP(B112,'Stammdaten'!$A$2:$C$31,3,FALSE)</f>
        <v>Reinigung</v>
      </c>
    </row>
    <row r="113" ht="18.5" customHeight="1">
      <c r="A113" t="s" s="10">
        <v>202</v>
      </c>
      <c r="B113" t="s" s="10">
        <v>12</v>
      </c>
      <c r="C113" t="s" s="10">
        <v>11</v>
      </c>
      <c r="D113" s="18">
        <v>2023</v>
      </c>
      <c r="E113" t="s" s="10">
        <v>87</v>
      </c>
      <c r="F113" s="18">
        <v>8.6</v>
      </c>
      <c r="G113" s="18">
        <v>10</v>
      </c>
      <c r="H113" t="str" s="19" cm="1">
        <f t="array" ref="H113">VLOOKUP(B113,'Stammdaten'!$A$2:$C$31,3,FALSE)</f>
        <v>Lager</v>
      </c>
    </row>
    <row r="114" ht="18.5" customHeight="1">
      <c r="A114" t="s" s="10">
        <v>203</v>
      </c>
      <c r="B114" t="s" s="10">
        <v>25</v>
      </c>
      <c r="C114" t="s" s="10">
        <v>24</v>
      </c>
      <c r="D114" s="18">
        <v>2024</v>
      </c>
      <c r="E114" t="s" s="10">
        <v>83</v>
      </c>
      <c r="F114" s="18">
        <v>103.7</v>
      </c>
      <c r="G114" s="18">
        <v>14</v>
      </c>
      <c r="H114" t="str" s="19" cm="1">
        <f t="array" ref="H114">VLOOKUP(B114,'Stammdaten'!$A$2:$C$31,3,FALSE)</f>
        <v>Versand</v>
      </c>
    </row>
    <row r="115" ht="18.5" customHeight="1">
      <c r="A115" t="s" s="10">
        <v>204</v>
      </c>
      <c r="B115" t="s" s="10">
        <v>40</v>
      </c>
      <c r="C115" t="s" s="10">
        <v>63</v>
      </c>
      <c r="D115" s="18">
        <v>2024</v>
      </c>
      <c r="E115" t="s" s="10">
        <v>87</v>
      </c>
      <c r="F115" s="18">
        <v>111.3</v>
      </c>
      <c r="G115" s="18">
        <v>48</v>
      </c>
      <c r="H115" t="str" s="19" cm="1">
        <f t="array" ref="H115">VLOOKUP(B115,'Stammdaten'!$A$2:$C$31,3,FALSE)</f>
        <v>Reinigung</v>
      </c>
    </row>
    <row r="116" ht="18.5" customHeight="1">
      <c r="A116" t="s" s="10">
        <v>205</v>
      </c>
      <c r="B116" t="s" s="10">
        <v>57</v>
      </c>
      <c r="C116" t="s" s="10">
        <v>11</v>
      </c>
      <c r="D116" s="18">
        <v>2023</v>
      </c>
      <c r="E116" t="s" s="10">
        <v>117</v>
      </c>
      <c r="F116" s="18">
        <v>23.9</v>
      </c>
      <c r="G116" s="18">
        <v>2</v>
      </c>
      <c r="H116" t="str" s="19" cm="1">
        <f t="array" ref="H116">VLOOKUP(B116,'Stammdaten'!$A$2:$C$31,3,FALSE)</f>
        <v>Wartung</v>
      </c>
    </row>
    <row r="117" ht="18.5" customHeight="1">
      <c r="A117" t="s" s="10">
        <v>206</v>
      </c>
      <c r="B117" t="s" s="10">
        <v>72</v>
      </c>
      <c r="C117" t="s" s="10">
        <v>63</v>
      </c>
      <c r="D117" s="18">
        <v>2025</v>
      </c>
      <c r="E117" t="s" s="10">
        <v>83</v>
      </c>
      <c r="F117" s="18">
        <v>172.7</v>
      </c>
      <c r="G117" s="18">
        <v>26</v>
      </c>
      <c r="H117" t="str" s="19" cm="1">
        <f t="array" ref="H117">VLOOKUP(B117,'Stammdaten'!$A$2:$C$31,3,FALSE)</f>
        <v>Produktion</v>
      </c>
    </row>
    <row r="118" ht="18.5" customHeight="1">
      <c r="A118" t="s" s="10">
        <v>207</v>
      </c>
      <c r="B118" t="s" s="10">
        <v>57</v>
      </c>
      <c r="C118" t="s" s="10">
        <v>24</v>
      </c>
      <c r="D118" s="18">
        <v>2023</v>
      </c>
      <c r="E118" t="s" s="10">
        <v>83</v>
      </c>
      <c r="F118" s="18">
        <v>150.4</v>
      </c>
      <c r="G118" s="18">
        <v>16</v>
      </c>
      <c r="H118" t="str" s="19" cm="1">
        <f t="array" ref="H118">VLOOKUP(B118,'Stammdaten'!$A$2:$C$31,3,FALSE)</f>
        <v>Wartung</v>
      </c>
    </row>
    <row r="119" ht="18.5" customHeight="1">
      <c r="A119" t="s" s="10">
        <v>208</v>
      </c>
      <c r="B119" t="s" s="10">
        <v>16</v>
      </c>
      <c r="C119" t="s" s="10">
        <v>63</v>
      </c>
      <c r="D119" s="18">
        <v>2025</v>
      </c>
      <c r="E119" t="s" s="10">
        <v>83</v>
      </c>
      <c r="F119" s="18">
        <v>26.2</v>
      </c>
      <c r="G119" s="18">
        <v>37</v>
      </c>
      <c r="H119" t="str" s="19" cm="1">
        <f t="array" ref="H119">VLOOKUP(B119,'Stammdaten'!$A$2:$C$31,3,FALSE)</f>
        <v>Lager</v>
      </c>
    </row>
    <row r="120" ht="18.5" customHeight="1">
      <c r="A120" t="s" s="10">
        <v>209</v>
      </c>
      <c r="B120" t="s" s="10">
        <v>64</v>
      </c>
      <c r="C120" t="s" s="10">
        <v>11</v>
      </c>
      <c r="D120" s="18">
        <v>2024</v>
      </c>
      <c r="E120" t="s" s="10">
        <v>83</v>
      </c>
      <c r="F120" s="18">
        <v>120.8</v>
      </c>
      <c r="G120" s="18">
        <v>5</v>
      </c>
      <c r="H120" t="str" s="19" cm="1">
        <f t="array" ref="H120">VLOOKUP(B120,'Stammdaten'!$A$2:$C$31,3,FALSE)</f>
        <v>Produktion</v>
      </c>
    </row>
    <row r="121" ht="18.5" customHeight="1">
      <c r="A121" t="s" s="10">
        <v>210</v>
      </c>
      <c r="B121" t="s" s="10">
        <v>44</v>
      </c>
      <c r="C121" t="s" s="10">
        <v>63</v>
      </c>
      <c r="D121" s="18">
        <v>2023</v>
      </c>
      <c r="E121" t="s" s="10">
        <v>83</v>
      </c>
      <c r="F121" s="18">
        <v>148.9</v>
      </c>
      <c r="G121" s="18">
        <v>7</v>
      </c>
      <c r="H121" t="str" s="19" cm="1">
        <f t="array" ref="H121">VLOOKUP(B121,'Stammdaten'!$A$2:$C$31,3,FALSE)</f>
        <v>Reinigung</v>
      </c>
    </row>
    <row r="122" ht="18.5" customHeight="1">
      <c r="A122" t="s" s="10">
        <v>211</v>
      </c>
      <c r="B122" t="s" s="10">
        <v>38</v>
      </c>
      <c r="C122" t="s" s="10">
        <v>63</v>
      </c>
      <c r="D122" s="18">
        <v>2025</v>
      </c>
      <c r="E122" t="s" s="10">
        <v>83</v>
      </c>
      <c r="F122" s="18">
        <v>85.5</v>
      </c>
      <c r="G122" s="18">
        <v>10</v>
      </c>
      <c r="H122" t="str" s="19" cm="1">
        <f t="array" ref="H122">VLOOKUP(B122,'Stammdaten'!$A$2:$C$31,3,FALSE)</f>
        <v>Reinigung</v>
      </c>
    </row>
    <row r="123" ht="18.5" customHeight="1">
      <c r="A123" t="s" s="10">
        <v>212</v>
      </c>
      <c r="B123" t="s" s="10">
        <v>38</v>
      </c>
      <c r="C123" t="s" s="10">
        <v>24</v>
      </c>
      <c r="D123" s="18">
        <v>2025</v>
      </c>
      <c r="E123" t="s" s="10">
        <v>83</v>
      </c>
      <c r="F123" s="18">
        <v>118.8</v>
      </c>
      <c r="G123" s="18">
        <v>40</v>
      </c>
      <c r="H123" t="str" s="19" cm="1">
        <f t="array" ref="H123">VLOOKUP(B123,'Stammdaten'!$A$2:$C$31,3,FALSE)</f>
        <v>Reinigung</v>
      </c>
    </row>
    <row r="124" ht="18.5" customHeight="1">
      <c r="A124" t="s" s="10">
        <v>213</v>
      </c>
      <c r="B124" t="s" s="10">
        <v>64</v>
      </c>
      <c r="C124" t="s" s="10">
        <v>90</v>
      </c>
      <c r="D124" s="18">
        <v>2024</v>
      </c>
      <c r="E124" t="s" s="10">
        <v>83</v>
      </c>
      <c r="F124" s="18">
        <v>149.5</v>
      </c>
      <c r="G124" s="18">
        <v>38</v>
      </c>
      <c r="H124" t="str" s="19" cm="1">
        <f t="array" ref="H124">VLOOKUP(B124,'Stammdaten'!$A$2:$C$31,3,FALSE)</f>
        <v>Produktion</v>
      </c>
    </row>
    <row r="125" ht="18.5" customHeight="1">
      <c r="A125" t="s" s="10">
        <v>214</v>
      </c>
      <c r="B125" t="s" s="10">
        <v>27</v>
      </c>
      <c r="C125" t="s" s="10">
        <v>63</v>
      </c>
      <c r="D125" s="18">
        <v>2023</v>
      </c>
      <c r="E125" t="s" s="10">
        <v>83</v>
      </c>
      <c r="F125" s="18">
        <v>20.2</v>
      </c>
      <c r="G125" s="18">
        <v>29</v>
      </c>
      <c r="H125" t="str" s="19" cm="1">
        <f t="array" ref="H125">VLOOKUP(B125,'Stammdaten'!$A$2:$C$31,3,FALSE)</f>
        <v>Versand</v>
      </c>
    </row>
    <row r="126" ht="18.5" customHeight="1">
      <c r="A126" t="s" s="10">
        <v>215</v>
      </c>
      <c r="B126" t="s" s="10">
        <v>25</v>
      </c>
      <c r="C126" t="s" s="10">
        <v>50</v>
      </c>
      <c r="D126" s="18">
        <v>2025</v>
      </c>
      <c r="E126" t="s" s="10">
        <v>83</v>
      </c>
      <c r="F126" s="18">
        <v>71.3</v>
      </c>
      <c r="G126" s="18">
        <v>2</v>
      </c>
      <c r="H126" t="str" s="19" cm="1">
        <f t="array" ref="H126">VLOOKUP(B126,'Stammdaten'!$A$2:$C$31,3,FALSE)</f>
        <v>Versand</v>
      </c>
    </row>
    <row r="127" ht="18.5" customHeight="1">
      <c r="A127" t="s" s="10">
        <v>216</v>
      </c>
      <c r="B127" t="s" s="10">
        <v>42</v>
      </c>
      <c r="C127" t="s" s="10">
        <v>63</v>
      </c>
      <c r="D127" s="18">
        <v>2023</v>
      </c>
      <c r="E127" t="s" s="10">
        <v>83</v>
      </c>
      <c r="F127" s="18">
        <v>67.09999999999999</v>
      </c>
      <c r="G127" s="18">
        <v>17</v>
      </c>
      <c r="H127" t="str" s="19" cm="1">
        <f t="array" ref="H127">VLOOKUP(B127,'Stammdaten'!$A$2:$C$31,3,FALSE)</f>
        <v>Reinigung</v>
      </c>
    </row>
    <row r="128" ht="18.5" customHeight="1">
      <c r="A128" t="s" s="10">
        <v>217</v>
      </c>
      <c r="B128" t="s" s="10">
        <v>31</v>
      </c>
      <c r="C128" t="s" s="10">
        <v>63</v>
      </c>
      <c r="D128" s="18">
        <v>2025</v>
      </c>
      <c r="E128" t="s" s="10">
        <v>83</v>
      </c>
      <c r="F128" s="18">
        <v>53.3</v>
      </c>
      <c r="G128" s="18">
        <v>1</v>
      </c>
      <c r="H128" t="str" s="19" cm="1">
        <f t="array" ref="H128">VLOOKUP(B128,'Stammdaten'!$A$2:$C$31,3,FALSE)</f>
        <v>Versand</v>
      </c>
    </row>
    <row r="129" ht="18.5" customHeight="1">
      <c r="A129" t="s" s="10">
        <v>218</v>
      </c>
      <c r="B129" t="s" s="10">
        <v>44</v>
      </c>
      <c r="C129" t="s" s="10">
        <v>24</v>
      </c>
      <c r="D129" s="18">
        <v>2023</v>
      </c>
      <c r="E129" t="s" s="10">
        <v>87</v>
      </c>
      <c r="F129" s="18">
        <v>76.09999999999999</v>
      </c>
      <c r="G129" s="18">
        <v>36</v>
      </c>
      <c r="H129" t="str" s="19" cm="1">
        <f t="array" ref="H129">VLOOKUP(B129,'Stammdaten'!$A$2:$C$31,3,FALSE)</f>
        <v>Reinigung</v>
      </c>
    </row>
    <row r="130" ht="18.5" customHeight="1">
      <c r="A130" t="s" s="10">
        <v>219</v>
      </c>
      <c r="B130" t="s" s="10">
        <v>61</v>
      </c>
      <c r="C130" t="s" s="10">
        <v>24</v>
      </c>
      <c r="D130" s="18">
        <v>2025</v>
      </c>
      <c r="E130" t="s" s="10">
        <v>83</v>
      </c>
      <c r="F130" s="18">
        <v>129.6</v>
      </c>
      <c r="G130" s="18">
        <v>29</v>
      </c>
      <c r="H130" t="str" s="19" cm="1">
        <f t="array" ref="H130">VLOOKUP(B130,'Stammdaten'!$A$2:$C$31,3,FALSE)</f>
        <v>Produktion</v>
      </c>
    </row>
    <row r="131" ht="18.5" customHeight="1">
      <c r="A131" t="s" s="10">
        <v>220</v>
      </c>
      <c r="B131" t="s" s="10">
        <v>64</v>
      </c>
      <c r="C131" t="s" s="10">
        <v>11</v>
      </c>
      <c r="D131" s="18">
        <v>2023</v>
      </c>
      <c r="E131" t="s" s="10">
        <v>87</v>
      </c>
      <c r="F131" s="18">
        <v>75.8</v>
      </c>
      <c r="G131" s="18">
        <v>16</v>
      </c>
      <c r="H131" t="str" s="19" cm="1">
        <f t="array" ref="H131">VLOOKUP(B131,'Stammdaten'!$A$2:$C$31,3,FALSE)</f>
        <v>Produktion</v>
      </c>
    </row>
    <row r="132" ht="18.5" customHeight="1">
      <c r="A132" t="s" s="10">
        <v>221</v>
      </c>
      <c r="B132" t="s" s="10">
        <v>29</v>
      </c>
      <c r="C132" t="s" s="10">
        <v>90</v>
      </c>
      <c r="D132" s="18">
        <v>2024</v>
      </c>
      <c r="E132" t="s" s="10">
        <v>83</v>
      </c>
      <c r="F132" s="18">
        <v>97.90000000000001</v>
      </c>
      <c r="G132" s="18">
        <v>28</v>
      </c>
      <c r="H132" t="str" s="19" cm="1">
        <f t="array" ref="H132">VLOOKUP(B132,'Stammdaten'!$A$2:$C$31,3,FALSE)</f>
        <v>Versand</v>
      </c>
    </row>
    <row r="133" ht="18.5" customHeight="1">
      <c r="A133" t="s" s="10">
        <v>222</v>
      </c>
      <c r="B133" t="s" s="10">
        <v>59</v>
      </c>
      <c r="C133" t="s" s="10">
        <v>90</v>
      </c>
      <c r="D133" s="18">
        <v>2024</v>
      </c>
      <c r="E133" t="s" s="10">
        <v>83</v>
      </c>
      <c r="F133" s="18">
        <v>84.40000000000001</v>
      </c>
      <c r="G133" s="18">
        <v>20</v>
      </c>
      <c r="H133" t="str" s="19" cm="1">
        <f t="array" ref="H133">VLOOKUP(B133,'Stammdaten'!$A$2:$C$31,3,FALSE)</f>
        <v>Wartung</v>
      </c>
    </row>
    <row r="134" ht="18.5" customHeight="1">
      <c r="A134" t="s" s="10">
        <v>223</v>
      </c>
      <c r="B134" t="s" s="10">
        <v>27</v>
      </c>
      <c r="C134" t="s" s="10">
        <v>24</v>
      </c>
      <c r="D134" s="18">
        <v>2023</v>
      </c>
      <c r="E134" t="s" s="10">
        <v>83</v>
      </c>
      <c r="F134" s="18">
        <v>60.2</v>
      </c>
      <c r="G134" s="18">
        <v>48</v>
      </c>
      <c r="H134" t="str" s="19" cm="1">
        <f t="array" ref="H134">VLOOKUP(B134,'Stammdaten'!$A$2:$C$31,3,FALSE)</f>
        <v>Versand</v>
      </c>
    </row>
    <row r="135" ht="18.5" customHeight="1">
      <c r="A135" t="s" s="10">
        <v>224</v>
      </c>
      <c r="B135" t="s" s="10">
        <v>46</v>
      </c>
      <c r="C135" t="s" s="10">
        <v>24</v>
      </c>
      <c r="D135" s="18">
        <v>2023</v>
      </c>
      <c r="E135" t="s" s="10">
        <v>87</v>
      </c>
      <c r="F135" s="18">
        <v>89.7</v>
      </c>
      <c r="G135" s="18">
        <v>47</v>
      </c>
      <c r="H135" t="str" s="19" cm="1">
        <f t="array" ref="H135">VLOOKUP(B135,'Stammdaten'!$A$2:$C$31,3,FALSE)</f>
        <v>Reinigung</v>
      </c>
    </row>
    <row r="136" ht="18.5" customHeight="1">
      <c r="A136" t="s" s="10">
        <v>225</v>
      </c>
      <c r="B136" t="s" s="10">
        <v>48</v>
      </c>
      <c r="C136" t="s" s="10">
        <v>90</v>
      </c>
      <c r="D136" s="18">
        <v>2025</v>
      </c>
      <c r="E136" t="s" s="10">
        <v>87</v>
      </c>
      <c r="F136" s="18">
        <v>22.6</v>
      </c>
      <c r="G136" s="18">
        <v>13</v>
      </c>
      <c r="H136" t="str" s="19" cm="1">
        <f t="array" ref="H136">VLOOKUP(B136,'Stammdaten'!$A$2:$C$31,3,FALSE)</f>
        <v>Wartung</v>
      </c>
    </row>
    <row r="137" ht="18.5" customHeight="1">
      <c r="A137" t="s" s="10">
        <v>226</v>
      </c>
      <c r="B137" t="s" s="10">
        <v>29</v>
      </c>
      <c r="C137" t="s" s="10">
        <v>24</v>
      </c>
      <c r="D137" s="18">
        <v>2024</v>
      </c>
      <c r="E137" t="s" s="10">
        <v>87</v>
      </c>
      <c r="F137" s="18">
        <v>7.5</v>
      </c>
      <c r="G137" s="18">
        <v>35</v>
      </c>
      <c r="H137" t="str" s="19" cm="1">
        <f t="array" ref="H137">VLOOKUP(B137,'Stammdaten'!$A$2:$C$31,3,FALSE)</f>
        <v>Versand</v>
      </c>
    </row>
    <row r="138" ht="18.5" customHeight="1">
      <c r="A138" t="s" s="10">
        <v>227</v>
      </c>
      <c r="B138" t="s" s="10">
        <v>18</v>
      </c>
      <c r="C138" t="s" s="10">
        <v>63</v>
      </c>
      <c r="D138" s="18">
        <v>2023</v>
      </c>
      <c r="E138" t="s" s="10">
        <v>117</v>
      </c>
      <c r="F138" s="18">
        <v>101.8</v>
      </c>
      <c r="G138" s="18">
        <v>45</v>
      </c>
      <c r="H138" t="str" s="19" cm="1">
        <f t="array" ref="H138">VLOOKUP(B138,'Stammdaten'!$A$2:$C$31,3,FALSE)</f>
        <v>Lager</v>
      </c>
    </row>
    <row r="139" ht="18.5" customHeight="1">
      <c r="A139" t="s" s="10">
        <v>228</v>
      </c>
      <c r="B139" t="s" s="10">
        <v>18</v>
      </c>
      <c r="C139" t="s" s="10">
        <v>50</v>
      </c>
      <c r="D139" s="18">
        <v>2023</v>
      </c>
      <c r="E139" t="s" s="10">
        <v>83</v>
      </c>
      <c r="F139" s="18">
        <v>105.5</v>
      </c>
      <c r="G139" s="18">
        <v>31</v>
      </c>
      <c r="H139" t="str" s="19" cm="1">
        <f t="array" ref="H139">VLOOKUP(B139,'Stammdaten'!$A$2:$C$31,3,FALSE)</f>
        <v>Lager</v>
      </c>
    </row>
    <row r="140" ht="18.5" customHeight="1">
      <c r="A140" t="s" s="10">
        <v>229</v>
      </c>
      <c r="B140" t="s" s="10">
        <v>42</v>
      </c>
      <c r="C140" t="s" s="10">
        <v>50</v>
      </c>
      <c r="D140" s="18">
        <v>2024</v>
      </c>
      <c r="E140" t="s" s="10">
        <v>87</v>
      </c>
      <c r="F140" s="18">
        <v>14</v>
      </c>
      <c r="G140" s="18">
        <v>31</v>
      </c>
      <c r="H140" t="str" s="19" cm="1">
        <f t="array" ref="H140">VLOOKUP(B140,'Stammdaten'!$A$2:$C$31,3,FALSE)</f>
        <v>Reinigung</v>
      </c>
    </row>
    <row r="141" ht="18.5" customHeight="1">
      <c r="A141" t="s" s="10">
        <v>230</v>
      </c>
      <c r="B141" t="s" s="10">
        <v>16</v>
      </c>
      <c r="C141" t="s" s="10">
        <v>11</v>
      </c>
      <c r="D141" s="18">
        <v>2024</v>
      </c>
      <c r="E141" t="s" s="10">
        <v>83</v>
      </c>
      <c r="F141" s="18">
        <v>106</v>
      </c>
      <c r="G141" s="18">
        <v>44</v>
      </c>
      <c r="H141" t="str" s="19" cm="1">
        <f t="array" ref="H141">VLOOKUP(B141,'Stammdaten'!$A$2:$C$31,3,FALSE)</f>
        <v>Lager</v>
      </c>
    </row>
    <row r="142" ht="18.5" customHeight="1">
      <c r="A142" t="s" s="10">
        <v>231</v>
      </c>
      <c r="B142" t="s" s="10">
        <v>12</v>
      </c>
      <c r="C142" t="s" s="10">
        <v>24</v>
      </c>
      <c r="D142" s="18">
        <v>2023</v>
      </c>
      <c r="E142" t="s" s="10">
        <v>83</v>
      </c>
      <c r="F142" s="18">
        <v>171.1</v>
      </c>
      <c r="G142" s="18">
        <v>6</v>
      </c>
      <c r="H142" t="str" s="19" cm="1">
        <f t="array" ref="H142">VLOOKUP(B142,'Stammdaten'!$A$2:$C$31,3,FALSE)</f>
        <v>Lager</v>
      </c>
    </row>
    <row r="143" ht="18.5" customHeight="1">
      <c r="A143" t="s" s="10">
        <v>232</v>
      </c>
      <c r="B143" t="s" s="10">
        <v>25</v>
      </c>
      <c r="C143" t="s" s="10">
        <v>11</v>
      </c>
      <c r="D143" s="18">
        <v>2025</v>
      </c>
      <c r="E143" t="s" s="10">
        <v>83</v>
      </c>
      <c r="F143" s="18">
        <v>111.1</v>
      </c>
      <c r="G143" s="18">
        <v>40</v>
      </c>
      <c r="H143" t="str" s="19" cm="1">
        <f t="array" ref="H143">VLOOKUP(B143,'Stammdaten'!$A$2:$C$31,3,FALSE)</f>
        <v>Versand</v>
      </c>
    </row>
    <row r="144" ht="18.5" customHeight="1">
      <c r="A144" t="s" s="10">
        <v>233</v>
      </c>
      <c r="B144" t="s" s="10">
        <v>25</v>
      </c>
      <c r="C144" t="s" s="10">
        <v>90</v>
      </c>
      <c r="D144" s="18">
        <v>2024</v>
      </c>
      <c r="E144" t="s" s="10">
        <v>83</v>
      </c>
      <c r="F144" s="18">
        <v>82.5</v>
      </c>
      <c r="G144" s="18">
        <v>38</v>
      </c>
      <c r="H144" t="str" s="19" cm="1">
        <f t="array" ref="H144">VLOOKUP(B144,'Stammdaten'!$A$2:$C$31,3,FALSE)</f>
        <v>Versand</v>
      </c>
    </row>
    <row r="145" ht="18.5" customHeight="1">
      <c r="A145" t="s" s="10">
        <v>234</v>
      </c>
      <c r="B145" t="s" s="10">
        <v>38</v>
      </c>
      <c r="C145" t="s" s="10">
        <v>63</v>
      </c>
      <c r="D145" s="18">
        <v>2025</v>
      </c>
      <c r="E145" t="s" s="10">
        <v>83</v>
      </c>
      <c r="F145" s="18">
        <v>111.7</v>
      </c>
      <c r="G145" s="18">
        <v>48</v>
      </c>
      <c r="H145" t="str" s="19" cm="1">
        <f t="array" ref="H145">VLOOKUP(B145,'Stammdaten'!$A$2:$C$31,3,FALSE)</f>
        <v>Reinigung</v>
      </c>
    </row>
    <row r="146" ht="18.5" customHeight="1">
      <c r="A146" t="s" s="10">
        <v>235</v>
      </c>
      <c r="B146" t="s" s="10">
        <v>16</v>
      </c>
      <c r="C146" t="s" s="10">
        <v>24</v>
      </c>
      <c r="D146" s="18">
        <v>2025</v>
      </c>
      <c r="E146" t="s" s="10">
        <v>87</v>
      </c>
      <c r="F146" s="18">
        <v>120.6</v>
      </c>
      <c r="G146" s="18">
        <v>11</v>
      </c>
      <c r="H146" t="str" s="19" cm="1">
        <f t="array" ref="H146">VLOOKUP(B146,'Stammdaten'!$A$2:$C$31,3,FALSE)</f>
        <v>Lager</v>
      </c>
    </row>
    <row r="147" ht="18.5" customHeight="1">
      <c r="A147" t="s" s="10">
        <v>236</v>
      </c>
      <c r="B147" t="s" s="10">
        <v>25</v>
      </c>
      <c r="C147" t="s" s="10">
        <v>24</v>
      </c>
      <c r="D147" s="18">
        <v>2025</v>
      </c>
      <c r="E147" t="s" s="10">
        <v>87</v>
      </c>
      <c r="F147" s="18">
        <v>5.5</v>
      </c>
      <c r="G147" s="18">
        <v>29</v>
      </c>
      <c r="H147" t="str" s="19" cm="1">
        <f t="array" ref="H147">VLOOKUP(B147,'Stammdaten'!$A$2:$C$31,3,FALSE)</f>
        <v>Versand</v>
      </c>
    </row>
    <row r="148" ht="18.5" customHeight="1">
      <c r="A148" t="s" s="10">
        <v>237</v>
      </c>
      <c r="B148" t="s" s="10">
        <v>57</v>
      </c>
      <c r="C148" t="s" s="10">
        <v>90</v>
      </c>
      <c r="D148" s="18">
        <v>2024</v>
      </c>
      <c r="E148" t="s" s="10">
        <v>87</v>
      </c>
      <c r="F148" s="18">
        <v>45.5</v>
      </c>
      <c r="G148" s="18">
        <v>46</v>
      </c>
      <c r="H148" t="str" s="19" cm="1">
        <f t="array" ref="H148">VLOOKUP(B148,'Stammdaten'!$A$2:$C$31,3,FALSE)</f>
        <v>Wartung</v>
      </c>
    </row>
    <row r="149" ht="18.5" customHeight="1">
      <c r="A149" t="s" s="10">
        <v>238</v>
      </c>
      <c r="B149" t="s" s="10">
        <v>29</v>
      </c>
      <c r="C149" t="s" s="10">
        <v>50</v>
      </c>
      <c r="D149" s="18">
        <v>2023</v>
      </c>
      <c r="E149" t="s" s="10">
        <v>83</v>
      </c>
      <c r="F149" s="18">
        <v>166.7</v>
      </c>
      <c r="G149" s="18">
        <v>41</v>
      </c>
      <c r="H149" t="str" s="19" cm="1">
        <f t="array" ref="H149">VLOOKUP(B149,'Stammdaten'!$A$2:$C$31,3,FALSE)</f>
        <v>Versand</v>
      </c>
    </row>
    <row r="150" ht="18.5" customHeight="1">
      <c r="A150" t="s" s="10">
        <v>239</v>
      </c>
      <c r="B150" t="s" s="10">
        <v>48</v>
      </c>
      <c r="C150" t="s" s="10">
        <v>24</v>
      </c>
      <c r="D150" s="18">
        <v>2024</v>
      </c>
      <c r="E150" t="s" s="10">
        <v>87</v>
      </c>
      <c r="F150" s="18">
        <v>44.3</v>
      </c>
      <c r="G150" s="18">
        <v>10</v>
      </c>
      <c r="H150" t="str" s="19" cm="1">
        <f t="array" ref="H150">VLOOKUP(B150,'Stammdaten'!$A$2:$C$31,3,FALSE)</f>
        <v>Wartung</v>
      </c>
    </row>
    <row r="151" ht="18.5" customHeight="1">
      <c r="A151" t="s" s="10">
        <v>240</v>
      </c>
      <c r="B151" t="s" s="10">
        <v>72</v>
      </c>
      <c r="C151" t="s" s="10">
        <v>63</v>
      </c>
      <c r="D151" s="18">
        <v>2023</v>
      </c>
      <c r="E151" t="s" s="10">
        <v>87</v>
      </c>
      <c r="F151" s="18">
        <v>34</v>
      </c>
      <c r="G151" s="18">
        <v>20</v>
      </c>
      <c r="H151" t="str" s="19" cm="1">
        <f t="array" ref="H151">VLOOKUP(B151,'Stammdaten'!$A$2:$C$31,3,FALSE)</f>
        <v>Produktion</v>
      </c>
    </row>
  </sheetData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E25"/>
  <sheetViews>
    <sheetView workbookViewId="0" showGridLines="0" defaultGridColor="1"/>
  </sheetViews>
  <sheetFormatPr defaultColWidth="8.66667" defaultRowHeight="15" customHeight="1" outlineLevelRow="0" outlineLevelCol="0"/>
  <cols>
    <col min="1" max="1" width="109.352" style="20" customWidth="1"/>
    <col min="2" max="2" width="24.3516" style="20" customWidth="1"/>
    <col min="3" max="3" width="26.6719" style="20" customWidth="1"/>
    <col min="4" max="4" width="10.5" style="20" customWidth="1"/>
    <col min="5" max="5" width="8.67188" style="20" customWidth="1"/>
    <col min="6" max="16384" width="8.67188" style="20" customWidth="1"/>
  </cols>
  <sheetData>
    <row r="1" ht="23.25" customHeight="1">
      <c r="A1" t="s" s="21">
        <v>242</v>
      </c>
      <c r="B1" s="22"/>
      <c r="C1" s="23"/>
      <c r="D1" s="9"/>
      <c r="E1" s="24"/>
    </row>
    <row r="2" ht="18.35" customHeight="1">
      <c r="A2" s="25"/>
      <c r="B2" s="26"/>
      <c r="C2" s="27"/>
      <c r="D2" s="12"/>
      <c r="E2" s="28"/>
    </row>
    <row r="3" ht="42.4" customHeight="1">
      <c r="A3" t="s" s="29">
        <v>243</v>
      </c>
      <c r="B3" t="s" s="30">
        <v>244</v>
      </c>
      <c r="C3" s="31" cm="1">
        <f t="array" ref="C3">SUMIF('Bewegungen'!$C$2:$C$151,"Lager",'Bewegungen'!$F$2:$F$151)</f>
        <v>2412.5</v>
      </c>
      <c r="D3" s="32"/>
      <c r="E3" s="28"/>
    </row>
    <row r="4" ht="18.35" customHeight="1">
      <c r="A4" s="25"/>
      <c r="B4" s="26"/>
      <c r="C4" s="33"/>
      <c r="D4" s="12"/>
      <c r="E4" s="28"/>
    </row>
    <row r="5" ht="42.4" customHeight="1">
      <c r="A5" t="s" s="29">
        <v>245</v>
      </c>
      <c r="B5" t="s" s="30">
        <v>246</v>
      </c>
      <c r="C5" s="31" cm="1">
        <f t="array" ref="C5">_xlfn.SUMIFS('Bewegungen'!$F$2:$F$151,'Bewegungen'!$C$2:$C$151,"Lager",'Bewegungen'!D2:D151,"2025")</f>
        <v>831.9</v>
      </c>
      <c r="D5" s="32"/>
      <c r="E5" s="28"/>
    </row>
    <row r="6" ht="18.35" customHeight="1">
      <c r="A6" s="25"/>
      <c r="B6" s="26"/>
      <c r="C6" s="33"/>
      <c r="D6" s="12"/>
      <c r="E6" s="28"/>
    </row>
    <row r="7" ht="42.4" customHeight="1">
      <c r="A7" t="s" s="29">
        <v>247</v>
      </c>
      <c r="B7" t="s" s="30">
        <v>248</v>
      </c>
      <c r="C7" s="31" cm="1">
        <f t="array" ref="C7">COUNTIF('Bewegungen'!$A$2:$H$151,"Offen")</f>
        <v>51</v>
      </c>
      <c r="D7" s="32"/>
      <c r="E7" s="28"/>
    </row>
    <row r="8" ht="18.35" customHeight="1">
      <c r="A8" s="25"/>
      <c r="B8" s="26"/>
      <c r="C8" s="33"/>
      <c r="D8" s="12"/>
      <c r="E8" s="28"/>
    </row>
    <row r="9" ht="42.4" customHeight="1">
      <c r="A9" t="s" s="29">
        <v>249</v>
      </c>
      <c r="B9" t="s" s="30">
        <v>250</v>
      </c>
      <c r="C9" s="31" cm="1">
        <f t="array" ref="C9">_xlfn.COUNTIFS('Bewegungen'!$E$2:$E$151,"Offen",'Bewegungen'!$C$2:$C$151,"Versand")</f>
        <v>17</v>
      </c>
      <c r="D9" s="32"/>
      <c r="E9" s="28"/>
    </row>
    <row r="10" ht="18.35" customHeight="1">
      <c r="A10" s="25"/>
      <c r="B10" s="26"/>
      <c r="C10" s="33"/>
      <c r="D10" s="12"/>
      <c r="E10" s="28"/>
    </row>
    <row r="11" ht="42.4" customHeight="1">
      <c r="A11" t="s" s="29">
        <v>251</v>
      </c>
      <c r="B11" t="s" s="30">
        <v>252</v>
      </c>
      <c r="C11" s="31" cm="1">
        <f t="array" ref="C11">_xlfn.AVERAGEIF('Bewegungen'!$C$2:$C$151,"Wartung",'Bewegungen'!$F$2:$F$151)</f>
        <v>100.733333333333</v>
      </c>
      <c r="D11" s="32"/>
      <c r="E11" s="28"/>
    </row>
    <row r="12" ht="18.35" customHeight="1">
      <c r="A12" s="25"/>
      <c r="B12" s="26"/>
      <c r="C12" s="33"/>
      <c r="D12" s="12"/>
      <c r="E12" s="28"/>
    </row>
    <row r="13" ht="42.4" customHeight="1">
      <c r="A13" t="s" s="29">
        <v>253</v>
      </c>
      <c r="B13" t="s" s="30">
        <v>254</v>
      </c>
      <c r="C13" s="31" cm="1">
        <f t="array" ref="C13">_xlfn.COUNTIFS('Bewegungen'!$C$2:$C$151,"Produktion",'Bewegungen'!$D$2:$D$151,"2024")</f>
        <v>7</v>
      </c>
      <c r="D13" s="32"/>
      <c r="E13" s="28"/>
    </row>
    <row r="14" ht="18.35" customHeight="1">
      <c r="A14" s="25"/>
      <c r="B14" s="26"/>
      <c r="C14" s="33"/>
      <c r="D14" s="12"/>
      <c r="E14" s="28"/>
    </row>
    <row r="15" ht="42.4" customHeight="1">
      <c r="A15" t="s" s="29">
        <v>255</v>
      </c>
      <c r="B15" t="s" s="30">
        <v>256</v>
      </c>
      <c r="C15" s="31" cm="1">
        <f t="array" ref="C15">SUMIF('Bewegungen'!$H$2:$H$151,"Reinigung",'Bewegungen'!$G$2:$G$151)</f>
        <v>946</v>
      </c>
      <c r="D15" s="32"/>
      <c r="E15" s="28"/>
    </row>
    <row r="16" ht="18.35" customHeight="1">
      <c r="A16" s="25"/>
      <c r="B16" s="26"/>
      <c r="C16" s="33"/>
      <c r="D16" s="12"/>
      <c r="E16" s="28"/>
    </row>
    <row r="17" ht="42.4" customHeight="1">
      <c r="A17" t="s" s="29">
        <v>257</v>
      </c>
      <c r="B17" t="s" s="30">
        <v>258</v>
      </c>
      <c r="C17" s="31">
        <v>1137.3</v>
      </c>
      <c r="D17" s="32"/>
      <c r="E17" s="28"/>
    </row>
    <row r="18" ht="18.35" customHeight="1">
      <c r="A18" s="25"/>
      <c r="B18" s="26"/>
      <c r="C18" s="34"/>
      <c r="D18" s="12"/>
      <c r="E18" s="28"/>
    </row>
    <row r="19" ht="18.35" customHeight="1">
      <c r="A19" s="25"/>
      <c r="B19" s="26"/>
      <c r="C19" s="26"/>
      <c r="D19" s="12"/>
      <c r="E19" s="28"/>
    </row>
    <row r="20" ht="14.6" customHeight="1">
      <c r="A20" s="25"/>
      <c r="B20" s="26"/>
      <c r="C20" s="26"/>
      <c r="D20" s="12"/>
      <c r="E20" s="28"/>
    </row>
    <row r="21" ht="13.55" customHeight="1">
      <c r="A21" s="35"/>
      <c r="B21" s="36"/>
      <c r="C21" s="37"/>
      <c r="D21" s="37"/>
      <c r="E21" s="12"/>
    </row>
    <row r="22" ht="14.65" customHeight="1">
      <c r="A22" s="38"/>
      <c r="B22" s="36"/>
      <c r="C22" s="37"/>
      <c r="D22" s="37"/>
      <c r="E22" s="12"/>
    </row>
    <row r="23" ht="13.55" customHeight="1">
      <c r="A23" s="35"/>
      <c r="B23" s="36"/>
      <c r="C23" s="37"/>
      <c r="D23" s="37"/>
      <c r="E23" s="12"/>
    </row>
    <row r="24" ht="13.55" customHeight="1">
      <c r="A24" s="35"/>
      <c r="B24" s="36"/>
      <c r="C24" s="37"/>
      <c r="D24" s="37"/>
      <c r="E24" s="12"/>
    </row>
    <row r="25" ht="13.55" customHeight="1">
      <c r="A25" s="39"/>
      <c r="B25" s="40"/>
      <c r="C25" s="40"/>
      <c r="D25" s="40"/>
      <c r="E25" s="15"/>
    </row>
  </sheetData>
  <mergeCells count="1">
    <mergeCell ref="A1:C1"/>
  </mergeCell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