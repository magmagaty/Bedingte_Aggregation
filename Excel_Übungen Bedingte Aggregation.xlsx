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-Zusammenfassung" sheetId="1" r:id="rId5"/>
    <sheet name="Anleitung" sheetId="2" r:id="rId6"/>
    <sheet name="Stammdaten" sheetId="3" r:id="rId7"/>
    <sheet name="Bewegungen" sheetId="4" r:id="rId8"/>
    <sheet name="Übungen" sheetId="5" r:id="rId9"/>
    <sheet name="Lösungen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<sst xmlns="http://schemas.openxmlformats.org/spreadsheetml/2006/main" uniqueCount="329">
  <si>
    <t>Dieses Dokument wurde aus Numbers exportiert und jede Tabelle in ein Excel-Arbeitsblatt umgewandelt. Alle anderen Objekte der einzelnen Numbers-Blätter wurden auf eigene Arbeitsblätter übertragen. Beachte, dass die Formelberechnungen in Excel möglicherweise anders sind.</t>
  </si>
  <si>
    <t>Name des Numbers-Blatts</t>
  </si>
  <si>
    <t>Numbers-Tabellenname</t>
  </si>
  <si>
    <t>Name des Excel-Arbeitsblatts</t>
  </si>
  <si>
    <t>Anleitung</t>
  </si>
  <si>
    <t>Tabelle 1</t>
  </si>
  <si>
    <t>Übungsdatei – Stufe 5: Bedingte Aggregation</t>
  </si>
  <si>
    <t>SUMMEWENN(S) · ZÄHLENWENN(S) · MITTELWERTWENN(S) · Kombination mit SVERWEIS</t>
  </si>
  <si>
    <t>Aufbau der Datei:</t>
  </si>
  <si>
    <t xml:space="preserve">  • Stammdaten   – Artikel-/Prozessliste mit Kategorie (zum Nachschlagen)</t>
  </si>
  <si>
    <t xml:space="preserve">  • Bewegungen   – 150 Vorgänge (die eigentliche Datentabelle für die Übungen)</t>
  </si>
  <si>
    <t xml:space="preserve">  • Übungen      – 8 Aufgaben, jeweils mit leerer Antwortzelle (gelb markiert)</t>
  </si>
  <si>
    <t xml:space="preserve">  • Lösungen     – dieselben 8 Aufgaben mit fertiger Formel und Erläuterung</t>
  </si>
  <si>
    <t>Vorgehen:</t>
  </si>
  <si>
    <t xml:space="preserve">  1. Öffne das Blatt 'Übungen' und löse die Aufgaben dort in den gelben Zellen.</t>
  </si>
  <si>
    <t xml:space="preserve">  2. Bei Aufgabe 7 benötigst du eine Hilfsspalte – Platz dafür ist in 'Bewegungen' Spalte H vorbereitet.</t>
  </si>
  <si>
    <t xml:space="preserve">  3. Vergleiche dein Ergebnis erst danach mit dem Blatt 'Lösungen'.</t>
  </si>
  <si>
    <t>Tipp: Schreib die Formel zunächst auf Papier oder im Kopf zu Ende, bevor du tippst –</t>
  </si>
  <si>
    <t>das hilft, Bereich und Summe_Bereich nicht zu verwechseln.</t>
  </si>
  <si>
    <t>Stammdaten</t>
  </si>
  <si>
    <t>ArtikelID</t>
  </si>
  <si>
    <t>Artikelname</t>
  </si>
  <si>
    <t>Kategorie</t>
  </si>
  <si>
    <t>A001</t>
  </si>
  <si>
    <t>Wareneingang erfassen</t>
  </si>
  <si>
    <t>Lager</t>
  </si>
  <si>
    <t>A002</t>
  </si>
  <si>
    <t>Einlagerung buchen</t>
  </si>
  <si>
    <t>A003</t>
  </si>
  <si>
    <t>Bestand zählen</t>
  </si>
  <si>
    <t>A004</t>
  </si>
  <si>
    <t>Kommissionierung</t>
  </si>
  <si>
    <t>A005</t>
  </si>
  <si>
    <t>Umlagerung durchführen</t>
  </si>
  <si>
    <t>A006</t>
  </si>
  <si>
    <t>Inventur abschließen</t>
  </si>
  <si>
    <t>A007</t>
  </si>
  <si>
    <t>Versandschein erstellen</t>
  </si>
  <si>
    <t>Versand</t>
  </si>
  <si>
    <t>A008</t>
  </si>
  <si>
    <t>Paket verpacken</t>
  </si>
  <si>
    <t>A009</t>
  </si>
  <si>
    <t>Spediteur beauftragen</t>
  </si>
  <si>
    <t>A010</t>
  </si>
  <si>
    <t>Tracking aktualisieren</t>
  </si>
  <si>
    <t>A011</t>
  </si>
  <si>
    <t>Retoure annehmen</t>
  </si>
  <si>
    <t>A012</t>
  </si>
  <si>
    <t>Lieferschein prüfen</t>
  </si>
  <si>
    <t>A013</t>
  </si>
  <si>
    <t>Lagerhalle reinigen</t>
  </si>
  <si>
    <t>Reinigung</t>
  </si>
  <si>
    <t>A014</t>
  </si>
  <si>
    <t>Maschine säubern</t>
  </si>
  <si>
    <t>A015</t>
  </si>
  <si>
    <t>Arbeitsplatz reinigen</t>
  </si>
  <si>
    <t>A016</t>
  </si>
  <si>
    <t>Behälter spülen</t>
  </si>
  <si>
    <t>A017</t>
  </si>
  <si>
    <t>Filter wechseln</t>
  </si>
  <si>
    <t>A018</t>
  </si>
  <si>
    <t>Bodenreinigung</t>
  </si>
  <si>
    <t>A019</t>
  </si>
  <si>
    <t>Maschine warten</t>
  </si>
  <si>
    <t>Wartung</t>
  </si>
  <si>
    <t>A020</t>
  </si>
  <si>
    <t>Schmierung Anlage</t>
  </si>
  <si>
    <t>A021</t>
  </si>
  <si>
    <t>Sensor kalibrieren</t>
  </si>
  <si>
    <t>A022</t>
  </si>
  <si>
    <t>Ersatzteil tauschen</t>
  </si>
  <si>
    <t>A023</t>
  </si>
  <si>
    <t>Sicherheitsprüfung</t>
  </si>
  <si>
    <t>A024</t>
  </si>
  <si>
    <t>Software-Update</t>
  </si>
  <si>
    <t>A025</t>
  </si>
  <si>
    <t>Endkontrolle durchführen</t>
  </si>
  <si>
    <t>Produktion</t>
  </si>
  <si>
    <t>A026</t>
  </si>
  <si>
    <t>Teil montieren</t>
  </si>
  <si>
    <t>A027</t>
  </si>
  <si>
    <t>Etikett drucken</t>
  </si>
  <si>
    <t>A028</t>
  </si>
  <si>
    <t>Charge freigeben</t>
  </si>
  <si>
    <t>A029</t>
  </si>
  <si>
    <t>Qualitätsprobe ziehen</t>
  </si>
  <si>
    <t>A030</t>
  </si>
  <si>
    <t>Produktionsauftrag anlegen</t>
  </si>
  <si>
    <t>Bewegungen</t>
  </si>
  <si>
    <t>BewegungsID</t>
  </si>
  <si>
    <t>Abteilung</t>
  </si>
  <si>
    <t>Jahr</t>
  </si>
  <si>
    <t>Status</t>
  </si>
  <si>
    <t>Bearbeitungszeit_Min</t>
  </si>
  <si>
    <t>Menge</t>
  </si>
  <si>
    <t>Kategorie (Hilfsspalte – SVERWEIS einfügen)</t>
  </si>
  <si>
    <t>B0001</t>
  </si>
  <si>
    <t>Geschlossen</t>
  </si>
  <si>
    <r>
      <rPr>
        <sz val="14"/>
        <color indexed="8"/>
        <rFont val="Arial"/>
      </rPr>
      <t>Wartung</t>
    </r>
  </si>
  <si>
    <t>B0002</t>
  </si>
  <si>
    <t>B0003</t>
  </si>
  <si>
    <t>Offen</t>
  </si>
  <si>
    <r>
      <rPr>
        <sz val="14"/>
        <color indexed="8"/>
        <rFont val="Arial"/>
      </rPr>
      <t>Reinigung</t>
    </r>
  </si>
  <si>
    <t>B0004</t>
  </si>
  <si>
    <t>Qualitätssicherung</t>
  </si>
  <si>
    <r>
      <rPr>
        <sz val="14"/>
        <color indexed="8"/>
        <rFont val="Arial"/>
      </rPr>
      <t>Lager</t>
    </r>
  </si>
  <si>
    <t>B0005</t>
  </si>
  <si>
    <r>
      <rPr>
        <sz val="14"/>
        <color indexed="8"/>
        <rFont val="Arial"/>
      </rPr>
      <t>Versand</t>
    </r>
  </si>
  <si>
    <t>B0006</t>
  </si>
  <si>
    <r>
      <rPr>
        <sz val="14"/>
        <color indexed="8"/>
        <rFont val="Arial"/>
      </rPr>
      <t>Produktion</t>
    </r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</si>
  <si>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</si>
  <si>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</si>
  <si>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</si>
  <si>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</si>
  <si>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</si>
  <si>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</si>
  <si>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</si>
  <si>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</si>
  <si>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</si>
  <si>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</si>
  <si>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</si>
  <si>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</si>
  <si>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</si>
  <si>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</si>
  <si>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</si>
  <si>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</si>
  <si>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</si>
  <si>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</si>
  <si>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</si>
  <si>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</si>
  <si>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</si>
  <si>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Storniert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</si>
  <si>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</si>
  <si>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</si>
  <si>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</si>
  <si>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</si>
  <si>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</si>
  <si>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</si>
  <si>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</si>
  <si>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</si>
  <si>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</si>
  <si>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</si>
  <si>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</si>
  <si>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</si>
  <si>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</si>
  <si>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</si>
  <si>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</si>
  <si>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</si>
  <si>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</si>
  <si>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</si>
  <si>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</si>
  <si>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</si>
  <si>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</si>
  <si>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</si>
  <si>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</si>
  <si>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</si>
  <si>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</si>
  <si>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</si>
  <si>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</si>
  <si>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</si>
  <si>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</si>
  <si>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</si>
  <si>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</si>
  <si>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</si>
  <si>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</si>
  <si>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</si>
  <si>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</si>
  <si>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</si>
  <si>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</si>
  <si>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</si>
  <si>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</si>
  <si>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</si>
  <si>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</si>
  <si>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</si>
  <si>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</si>
  <si>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</si>
  <si>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</si>
  <si>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</si>
  <si>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</si>
  <si>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</si>
  <si>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</si>
  <si>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</si>
  <si>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</si>
  <si>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</si>
  <si>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</si>
  <si>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</si>
  <si>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</si>
  <si>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</si>
  <si>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</si>
  <si>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</si>
  <si>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</si>
  <si>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</si>
  <si>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</si>
  <si>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</si>
  <si>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</si>
  <si>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</si>
  <si>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</si>
  <si>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</si>
  <si>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</si>
  <si>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</si>
  <si>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</si>
  <si>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</si>
  <si>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</si>
  <si>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</si>
  <si>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</si>
  <si>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</si>
  <si>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</si>
  <si>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</si>
  <si>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</si>
  <si>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</si>
  <si>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</si>
  <si>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</si>
  <si>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</si>
  <si>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</si>
  <si>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</si>
  <si>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</si>
  <si>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</si>
  <si>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</si>
  <si>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</si>
  <si>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</si>
  <si>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</si>
  <si>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</si>
  <si>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</si>
  <si>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</si>
  <si>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</si>
  <si>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</si>
  <si>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</si>
  <si>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</si>
  <si>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</si>
  <si>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</si>
  <si>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</si>
  <si>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</si>
  <si>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</si>
  <si>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</si>
  <si>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</si>
  <si>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</si>
  <si>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</si>
  <si>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</si>
  <si>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</si>
  <si>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</si>
  <si>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</si>
  <si>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</si>
  <si>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</si>
  <si>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</si>
  <si>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</si>
  <si>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</si>
  <si>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</si>
  <si>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</si>
  <si>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</si>
  <si>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</si>
  <si>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</si>
  <si>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</si>
  <si>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</si>
  <si>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</si>
  <si>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</si>
  <si>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Übungen</t>
  </si>
  <si>
    <t>Übungen – Stufe 5: Bedingte Aggregation</t>
  </si>
  <si>
    <t>Summe der Bearbeitungszeit (Spalte F) aller Vorgänge der Abteilung „Lager“.</t>
  </si>
  <si>
    <t>Funktion: SUMMEWENN</t>
  </si>
  <si>
    <t>Summe der Bearbeitungszeit für Abteilung „Lager“ UND Jahr 2025.</t>
  </si>
  <si>
    <t>Funktion: SUMMEWENNS</t>
  </si>
  <si>
    <t>Anzahl aller Vorgänge mit Status „Offen“.</t>
  </si>
  <si>
    <t>Funktion: ZÄHLENWENN</t>
  </si>
  <si>
    <t>Anzahl offener Vorgänge in der Abteilung „Versand“.</t>
  </si>
  <si>
    <t>Funktion: ZÄHLENWENNS</t>
  </si>
  <si>
    <t>Durchschnittliche Bearbeitungszeit für die Abteilung „Wartung“.</t>
  </si>
  <si>
    <t>Funktion: MITTELWERTWENN</t>
  </si>
  <si>
    <t>Durchschnittliche Bearbeitungszeit für Abteilung „Produktion“ UND Jahr 2024.</t>
  </si>
  <si>
    <t>Funktion: MITTELWERTWENNS</t>
  </si>
  <si>
    <t>Summe der Menge (Spalte G) aller Vorgänge, deren Artikel laut Stammdaten der Kategorie „Reinigung“ zugeordnet ist. Hinweis: Spalte H in 'Bewegungen' zuerst mit SVERWEIS auf die Stammdaten befüllen, dann SUMMEWENN auf Spalte H anwenden.</t>
  </si>
  <si>
    <t>Funktion: SVERWEIS + SUMMEWENN</t>
  </si>
  <si>
    <t>Summe der Bearbeitungszeit für Abteilung „Lager“ UND Menge größer als der Durchschnitt aller Mengen (mehrstufige Bedingung ohne direkte SUMMEWENNS-Lösung).</t>
  </si>
  <si>
    <t>Funktion: SUMMENPRODUKT</t>
  </si>
  <si>
    <t>Lösungen</t>
  </si>
  <si>
    <t>Lösungen – Stufe 5: Bedingte Aggregation</t>
  </si>
  <si>
    <t>Nr.</t>
  </si>
  <si>
    <t>Beschreibung</t>
  </si>
  <si>
    <t>Funktion</t>
  </si>
  <si>
    <t>Formel</t>
  </si>
  <si>
    <t>Ergebnis</t>
  </si>
  <si>
    <t>SUMMEWENN</t>
  </si>
  <si>
    <t>=SUMMEWENN(Bewegungen!C2:C151;"Lager";Bewegungen!F2:F151)</t>
  </si>
  <si>
    <t>SUMMEWENNS</t>
  </si>
  <si>
    <t>=SUMMEWENNS(Bewegungen!F2:F151;Bewegungen!C2:C151;"Lager";Bewegungen!D2:D151;2025)</t>
  </si>
  <si>
    <t>ZÄHLENWENN</t>
  </si>
  <si>
    <t>=ZÄHLENWENN(Bewegungen!E2:E151;"Offen")</t>
  </si>
  <si>
    <t>ZÄHLENWENNS</t>
  </si>
  <si>
    <t>=ZÄHLENWENNS(Bewegungen!C2:C151;"Versand";Bewegungen!E2:E151;"Offen")</t>
  </si>
  <si>
    <t>MITTELWERTWENN</t>
  </si>
  <si>
    <t>=MITTELWERTWENN(Bewegungen!C2:C151;"Wartung";Bewegungen!F2:F151)</t>
  </si>
  <si>
    <t>MITTELWERTWENNS</t>
  </si>
  <si>
    <t>=MITTELWERTWENNS(Bewegungen!F2:F151;Bewegungen!C2:C151;"Produktion";Bewegungen!D2:D151;2024)</t>
  </si>
  <si>
    <t>SVERWEIS + SUMMEWENN</t>
  </si>
  <si>
    <t>Schritt 1 (Spalte H, Bewegungen): =SVERWEIS(B2;Stammdaten!$A$2:$C$31;3;FALSCH)
Schritt 2: =SUMMEWENN(Bewegungen!H2:H151;"Reinigung";Bewegungen!G2:G151)</t>
  </si>
  <si>
    <t>SUMMENPRODUKT</t>
  </si>
  <si>
    <t>=SUMMENPRODUKT((Bewegungen!C2:C151="Lager")*(Bewegungen!G2:G151&gt;MITTELWERT(Bewegungen!G2:G151))*Bewegungen!F2:F151)</t>
  </si>
  <si>
    <t>Hilfsbereich für Aufgabe 7 (SVERWEIS + SUMMEWENN)</t>
  </si>
  <si>
    <t>Kategorie (SVERWEIS)</t>
  </si>
  <si>
    <r>
      <rPr>
        <sz val="14"/>
        <color indexed="8"/>
        <rFont val="Arial"/>
      </rPr>
      <t>A021</t>
    </r>
  </si>
  <si>
    <r>
      <rPr>
        <sz val="14"/>
        <color indexed="8"/>
        <rFont val="Arial"/>
      </rPr>
      <t>A024</t>
    </r>
  </si>
  <si>
    <r>
      <rPr>
        <sz val="14"/>
        <color indexed="8"/>
        <rFont val="Arial"/>
      </rPr>
      <t>A014</t>
    </r>
  </si>
  <si>
    <r>
      <rPr>
        <sz val="14"/>
        <color indexed="8"/>
        <rFont val="Arial"/>
      </rPr>
      <t>A001</t>
    </r>
  </si>
  <si>
    <r>
      <rPr>
        <sz val="14"/>
        <color indexed="8"/>
        <rFont val="Arial"/>
      </rPr>
      <t>A008</t>
    </r>
  </si>
  <si>
    <r>
      <rPr>
        <sz val="14"/>
        <color indexed="8"/>
        <rFont val="Arial"/>
      </rPr>
      <t>A026</t>
    </r>
  </si>
  <si>
    <r>
      <rPr>
        <sz val="14"/>
        <color indexed="8"/>
        <rFont val="Arial"/>
      </rPr>
      <t>A025</t>
    </r>
  </si>
  <si>
    <r>
      <rPr>
        <sz val="14"/>
        <color indexed="8"/>
        <rFont val="Arial"/>
      </rPr>
      <t>A020</t>
    </r>
  </si>
  <si>
    <r>
      <rPr>
        <sz val="14"/>
        <color indexed="8"/>
        <rFont val="Arial"/>
      </rPr>
      <t>A003</t>
    </r>
  </si>
  <si>
    <r>
      <rPr>
        <sz val="14"/>
        <color indexed="8"/>
        <rFont val="Arial"/>
      </rPr>
      <t>A019</t>
    </r>
  </si>
  <si>
    <r>
      <rPr>
        <sz val="14"/>
        <color indexed="8"/>
        <rFont val="Arial"/>
      </rPr>
      <t>A010</t>
    </r>
  </si>
  <si>
    <r>
      <rPr>
        <sz val="14"/>
        <color indexed="8"/>
        <rFont val="Arial"/>
      </rPr>
      <t>A023</t>
    </r>
  </si>
  <si>
    <r>
      <rPr>
        <sz val="14"/>
        <color indexed="8"/>
        <rFont val="Arial"/>
      </rPr>
      <t>A006</t>
    </r>
  </si>
  <si>
    <r>
      <rPr>
        <sz val="14"/>
        <color indexed="8"/>
        <rFont val="Arial"/>
      </rPr>
      <t>A018</t>
    </r>
  </si>
  <si>
    <r>
      <rPr>
        <sz val="14"/>
        <color indexed="8"/>
        <rFont val="Arial"/>
      </rPr>
      <t>A029</t>
    </r>
  </si>
  <si>
    <r>
      <rPr>
        <sz val="14"/>
        <color indexed="8"/>
        <rFont val="Arial"/>
      </rPr>
      <t>A015</t>
    </r>
  </si>
  <si>
    <r>
      <rPr>
        <sz val="14"/>
        <color indexed="8"/>
        <rFont val="Arial"/>
      </rPr>
      <t>A009</t>
    </r>
  </si>
  <si>
    <r>
      <rPr>
        <sz val="14"/>
        <color indexed="8"/>
        <rFont val="Arial"/>
      </rPr>
      <t>A005</t>
    </r>
  </si>
  <si>
    <r>
      <rPr>
        <sz val="14"/>
        <color indexed="8"/>
        <rFont val="Arial"/>
      </rPr>
      <t>A022</t>
    </r>
  </si>
  <si>
    <r>
      <rPr>
        <sz val="14"/>
        <color indexed="8"/>
        <rFont val="Arial"/>
      </rPr>
      <t>A028</t>
    </r>
  </si>
  <si>
    <r>
      <rPr>
        <sz val="14"/>
        <color indexed="8"/>
        <rFont val="Arial"/>
      </rPr>
      <t>A002</t>
    </r>
  </si>
  <si>
    <r>
      <rPr>
        <sz val="14"/>
        <color indexed="8"/>
        <rFont val="Arial"/>
      </rPr>
      <t>A017</t>
    </r>
  </si>
  <si>
    <r>
      <rPr>
        <sz val="14"/>
        <color indexed="8"/>
        <rFont val="Arial"/>
      </rPr>
      <t>A007</t>
    </r>
  </si>
  <si>
    <r>
      <rPr>
        <sz val="14"/>
        <color indexed="8"/>
        <rFont val="Arial"/>
      </rPr>
      <t>A013</t>
    </r>
  </si>
  <si>
    <r>
      <rPr>
        <sz val="14"/>
        <color indexed="8"/>
        <rFont val="Arial"/>
      </rPr>
      <t>A030</t>
    </r>
  </si>
  <si>
    <r>
      <rPr>
        <sz val="14"/>
        <color indexed="8"/>
        <rFont val="Calibri"/>
      </rPr>
      <t>Produktion</t>
    </r>
  </si>
  <si>
    <r>
      <rPr>
        <sz val="14"/>
        <color indexed="8"/>
        <rFont val="Arial"/>
      </rPr>
      <t>A016</t>
    </r>
  </si>
  <si>
    <r>
      <rPr>
        <sz val="14"/>
        <color indexed="8"/>
        <rFont val="Arial"/>
      </rPr>
      <t>A012</t>
    </r>
  </si>
  <si>
    <r>
      <rPr>
        <sz val="14"/>
        <color indexed="8"/>
        <rFont val="Arial"/>
      </rPr>
      <t>A004</t>
    </r>
  </si>
  <si>
    <r>
      <rPr>
        <sz val="14"/>
        <color indexed="8"/>
        <rFont val="Arial"/>
      </rPr>
      <t>A011</t>
    </r>
  </si>
  <si>
    <r>
      <rPr>
        <sz val="14"/>
        <color indexed="8"/>
        <rFont val="Arial"/>
      </rPr>
      <t>A027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</si>
</sst>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9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sz val="14"/>
      <color indexed="12"/>
      <name val="Calibri"/>
    </font>
    <font>
      <sz val="11"/>
      <color indexed="12"/>
      <name val="Calibri"/>
    </font>
    <font>
      <sz val="14"/>
      <color indexed="13"/>
      <name val="Arial"/>
    </font>
    <font>
      <sz val="14"/>
      <color indexed="8"/>
      <name val="Arial"/>
    </font>
    <font>
      <sz val="14"/>
      <color indexed="12"/>
      <name val="Arial"/>
    </font>
    <font>
      <sz val="11"/>
      <color indexed="8"/>
      <name val="Arial"/>
    </font>
    <font>
      <sz val="10"/>
      <color indexed="17"/>
      <name val="Arial"/>
    </font>
    <font>
      <sz val="11"/>
      <color indexed="19"/>
      <name val="Calibri"/>
    </font>
    <font>
      <b val="1"/>
      <sz val="11"/>
      <color indexed="8"/>
      <name val="Calibri"/>
    </font>
    <font>
      <sz val="11"/>
      <color indexed="19"/>
      <name val="Helvetica Neue"/>
    </font>
    <font>
      <sz val="11"/>
      <color indexed="13"/>
      <name val="Calibri"/>
    </font>
    <font>
      <sz val="10"/>
      <color indexed="17"/>
      <name val="Calibri"/>
    </font>
    <font>
      <sz val="9"/>
      <color indexed="8"/>
      <name val="Consolas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</fills>
  <borders count="23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thin">
        <color indexed="14"/>
      </top>
      <bottom/>
      <diagonal/>
    </border>
    <border>
      <left style="thin">
        <color indexed="15"/>
      </left>
      <right/>
      <top/>
      <bottom/>
      <diagonal/>
    </border>
    <border>
      <left style="thin">
        <color indexed="15"/>
      </left>
      <right/>
      <top/>
      <bottom style="thin">
        <color indexed="14"/>
      </bottom>
      <diagonal/>
    </border>
    <border>
      <left/>
      <right/>
      <top/>
      <bottom style="thin">
        <color indexed="15"/>
      </bottom>
      <diagonal/>
    </border>
    <border>
      <left/>
      <right style="thin">
        <color indexed="15"/>
      </right>
      <top/>
      <bottom/>
      <diagonal/>
    </border>
    <border>
      <left style="thin">
        <color indexed="15"/>
      </left>
      <right style="thin">
        <color indexed="14"/>
      </right>
      <top/>
      <bottom/>
      <diagonal/>
    </border>
    <border>
      <left/>
      <right/>
      <top style="thin">
        <color indexed="15"/>
      </top>
      <bottom style="thin">
        <color indexed="15"/>
      </bottom>
      <diagonal/>
    </border>
    <border>
      <left/>
      <right/>
      <top style="thin">
        <color indexed="15"/>
      </top>
      <bottom/>
      <diagonal/>
    </border>
    <border>
      <left style="thin">
        <color indexed="14"/>
      </left>
      <right/>
      <top style="thin">
        <color indexed="14"/>
      </top>
      <bottom style="thin">
        <color indexed="15"/>
      </bottom>
      <diagonal/>
    </border>
    <border>
      <left/>
      <right/>
      <top style="thin">
        <color indexed="14"/>
      </top>
      <bottom style="thin">
        <color indexed="15"/>
      </bottom>
      <diagonal/>
    </border>
    <border>
      <left style="thin">
        <color indexed="14"/>
      </left>
      <right/>
      <top style="thin">
        <color indexed="15"/>
      </top>
      <bottom/>
      <diagonal/>
    </border>
    <border>
      <left/>
      <right style="thin">
        <color indexed="15"/>
      </right>
      <top style="thin">
        <color indexed="15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7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7" fillId="4" borderId="4" applyNumberFormat="1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1" fontId="0" fillId="4" borderId="4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49" fontId="0" fillId="4" borderId="7" applyNumberFormat="1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5" borderId="10" applyNumberFormat="1" applyFont="1" applyFill="1" applyBorder="1" applyAlignment="1" applyProtection="0">
      <alignment horizontal="center" vertical="bottom"/>
    </xf>
    <xf numFmtId="0" fontId="0" borderId="11" applyNumberFormat="0" applyFont="1" applyFill="0" applyBorder="1" applyAlignment="1" applyProtection="0">
      <alignment vertical="bottom"/>
    </xf>
    <xf numFmtId="49" fontId="9" fillId="4" borderId="10" applyNumberFormat="1" applyFont="1" applyFill="1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2" fillId="4" borderId="10" applyNumberFormat="1" applyFont="1" applyFill="1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5" borderId="10" applyNumberFormat="1" applyFont="1" applyFill="1" applyBorder="1" applyAlignment="1" applyProtection="0">
      <alignment horizontal="center" vertical="bottom" wrapText="1"/>
    </xf>
    <xf numFmtId="1" fontId="9" fillId="4" borderId="10" applyNumberFormat="1" applyFont="1" applyFill="1" applyBorder="1" applyAlignment="1" applyProtection="0">
      <alignment vertical="bottom"/>
    </xf>
    <xf numFmtId="0" fontId="9" fillId="6" borderId="1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0" fillId="4" borderId="1" applyNumberFormat="1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1" fontId="6" fillId="4" borderId="2" applyNumberFormat="1" applyFont="1" applyFill="1" applyBorder="1" applyAlignment="1" applyProtection="0">
      <alignment vertical="bottom"/>
    </xf>
    <xf numFmtId="0" fontId="11" fillId="4" borderId="4" applyNumberFormat="0" applyFont="1" applyFill="1" applyBorder="1" applyAlignment="1" applyProtection="0">
      <alignment vertical="bottom"/>
    </xf>
    <xf numFmtId="0" fontId="11" fillId="4" borderId="5" applyNumberFormat="0" applyFont="1" applyFill="1" applyBorder="1" applyAlignment="1" applyProtection="0">
      <alignment vertical="bottom"/>
    </xf>
    <xf numFmtId="0" fontId="11" fillId="4" borderId="14" applyNumberFormat="0" applyFont="1" applyFill="1" applyBorder="1" applyAlignment="1" applyProtection="0">
      <alignment vertical="bottom"/>
    </xf>
    <xf numFmtId="49" fontId="11" fillId="4" borderId="4" applyNumberFormat="1" applyFont="1" applyFill="1" applyBorder="1" applyAlignment="1" applyProtection="0">
      <alignment vertical="top" wrapText="1"/>
    </xf>
    <xf numFmtId="49" fontId="12" fillId="4" borderId="15" applyNumberFormat="1" applyFont="1" applyFill="1" applyBorder="1" applyAlignment="1" applyProtection="0">
      <alignment vertical="bottom"/>
    </xf>
    <xf numFmtId="1" fontId="11" fillId="7" borderId="10" applyNumberFormat="1" applyFont="1" applyFill="1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11" fillId="4" borderId="17" applyNumberFormat="0" applyFont="1" applyFill="1" applyBorder="1" applyAlignment="1" applyProtection="0">
      <alignment vertical="bottom"/>
    </xf>
    <xf numFmtId="0" fontId="11" fillId="4" borderId="18" applyNumberFormat="0" applyFont="1" applyFill="1" applyBorder="1" applyAlignment="1" applyProtection="0">
      <alignment vertical="bottom"/>
    </xf>
    <xf numFmtId="0" fontId="13" borderId="5" applyNumberFormat="0" applyFont="1" applyFill="0" applyBorder="1" applyAlignment="1" applyProtection="0">
      <alignment vertical="bottom"/>
    </xf>
    <xf numFmtId="0" fontId="14" borderId="5" applyNumberFormat="0" applyFont="1" applyFill="0" applyBorder="1" applyAlignment="1" applyProtection="0">
      <alignment vertical="bottom"/>
    </xf>
    <xf numFmtId="0" fontId="15" borderId="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4" borderId="19" applyNumberFormat="1" applyFont="1" applyFill="1" applyBorder="1" applyAlignment="1" applyProtection="0">
      <alignment vertical="bottom"/>
    </xf>
    <xf numFmtId="1" fontId="6" fillId="4" borderId="20" applyNumberFormat="1" applyFont="1" applyFill="1" applyBorder="1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/>
    </xf>
    <xf numFmtId="49" fontId="16" fillId="5" borderId="10" applyNumberFormat="1" applyFont="1" applyFill="1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vertical="bottom"/>
    </xf>
    <xf numFmtId="0" fontId="0" fillId="4" borderId="6" applyNumberFormat="0" applyFont="1" applyFill="1" applyBorder="1" applyAlignment="1" applyProtection="0">
      <alignment vertical="bottom"/>
    </xf>
    <xf numFmtId="1" fontId="0" fillId="4" borderId="21" applyNumberFormat="1" applyFont="1" applyFill="1" applyBorder="1" applyAlignment="1" applyProtection="0">
      <alignment vertical="bottom"/>
    </xf>
    <xf numFmtId="49" fontId="0" fillId="4" borderId="18" applyNumberFormat="1" applyFont="1" applyFill="1" applyBorder="1" applyAlignment="1" applyProtection="0">
      <alignment vertical="top" wrapText="1"/>
    </xf>
    <xf numFmtId="49" fontId="17" fillId="4" borderId="18" applyNumberFormat="1" applyFont="1" applyFill="1" applyBorder="1" applyAlignment="1" applyProtection="0">
      <alignment vertical="bottom"/>
    </xf>
    <xf numFmtId="49" fontId="18" fillId="4" borderId="22" applyNumberFormat="1" applyFont="1" applyFill="1" applyBorder="1" applyAlignment="1" applyProtection="0">
      <alignment vertical="top" wrapText="1"/>
    </xf>
    <xf numFmtId="2" fontId="0" fillId="8" borderId="10" applyNumberFormat="1" applyFont="1" applyFill="1" applyBorder="1" applyAlignment="1" applyProtection="0">
      <alignment vertical="bottom"/>
    </xf>
    <xf numFmtId="49" fontId="0" fillId="4" borderId="5" applyNumberFormat="1" applyFont="1" applyFill="1" applyBorder="1" applyAlignment="1" applyProtection="0">
      <alignment vertical="top" wrapText="1"/>
    </xf>
    <xf numFmtId="49" fontId="17" fillId="4" borderId="5" applyNumberFormat="1" applyFont="1" applyFill="1" applyBorder="1" applyAlignment="1" applyProtection="0">
      <alignment vertical="bottom"/>
    </xf>
    <xf numFmtId="49" fontId="18" fillId="4" borderId="15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bottom"/>
    </xf>
    <xf numFmtId="0" fontId="0" fillId="4" borderId="18" applyNumberFormat="0" applyFont="1" applyFill="1" applyBorder="1" applyAlignment="1" applyProtection="0">
      <alignment vertical="bottom"/>
    </xf>
    <xf numFmtId="49" fontId="16" fillId="5" borderId="5" applyNumberFormat="1" applyFont="1" applyFill="1" applyBorder="1" applyAlignment="1" applyProtection="0">
      <alignment vertical="bottom"/>
    </xf>
    <xf numFmtId="49" fontId="16" fillId="5" borderId="6" applyNumberFormat="1" applyFont="1" applyFill="1" applyBorder="1" applyAlignment="1" applyProtection="0">
      <alignment vertical="bottom"/>
    </xf>
    <xf numFmtId="0" fontId="0" fillId="4" borderId="7" applyNumberFormat="0" applyFont="1" applyFill="1" applyBorder="1" applyAlignment="1" applyProtection="0">
      <alignment vertical="bottom"/>
    </xf>
    <xf numFmtId="0" fontId="0" fillId="4" borderId="8" applyNumberFormat="0" applyFont="1" applyFill="1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1f4e78"/>
      <rgbColor rgb="ffffffff"/>
      <rgbColor rgb="ffaaaaaa"/>
      <rgbColor rgb="ffbfbfbf"/>
      <rgbColor rgb="fffce4d6"/>
      <rgbColor rgb="ff555555"/>
      <rgbColor rgb="fffff2cc"/>
      <rgbColor rgb="ffff2600"/>
      <rgbColor rgb="ffe2efd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19</v>
      </c>
      <c r="C11" s="3"/>
      <c r="D11" s="3"/>
    </row>
    <row r="12">
      <c r="B12" s="4"/>
      <c r="C12" t="s" s="4">
        <v>5</v>
      </c>
      <c r="D12" t="s" s="5">
        <v>19</v>
      </c>
    </row>
    <row r="13">
      <c r="B13" t="s" s="3">
        <v>88</v>
      </c>
      <c r="C13" s="3"/>
      <c r="D13" s="3"/>
    </row>
    <row r="14">
      <c r="B14" s="4"/>
      <c r="C14" t="s" s="4">
        <v>5</v>
      </c>
      <c r="D14" t="s" s="5">
        <v>88</v>
      </c>
    </row>
    <row r="15">
      <c r="B15" t="s" s="3">
        <v>255</v>
      </c>
      <c r="C15" s="3"/>
      <c r="D15" s="3"/>
    </row>
    <row r="16">
      <c r="B16" s="4"/>
      <c r="C16" t="s" s="4">
        <v>5</v>
      </c>
      <c r="D16" t="s" s="5">
        <v>255</v>
      </c>
    </row>
    <row r="17">
      <c r="B17" t="s" s="3">
        <v>273</v>
      </c>
      <c r="C17" s="3"/>
      <c r="D17" s="3"/>
    </row>
    <row r="18">
      <c r="B18" s="4"/>
      <c r="C18" t="s" s="4">
        <v>5</v>
      </c>
      <c r="D18" t="s" s="5">
        <v>273</v>
      </c>
    </row>
  </sheetData>
  <mergeCells count="1">
    <mergeCell ref="B3:D3"/>
  </mergeCells>
  <hyperlinks>
    <hyperlink ref="D10" location="'Anleitung'!R1C1" tooltip="" display="Anleitung"/>
    <hyperlink ref="D12" location="'Stammdaten'!R1C1" tooltip="" display="Stammdaten"/>
    <hyperlink ref="D14" location="'Bewegungen'!R1C1" tooltip="" display="Bewegungen"/>
    <hyperlink ref="D16" location="'Übungen'!R1C1" tooltip="" display="Übungen"/>
    <hyperlink ref="D18" location="'Lösungen'!R1C1" tooltip="" display="Lösungen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66667" defaultRowHeight="15" customHeight="1" outlineLevelRow="0" outlineLevelCol="0"/>
  <cols>
    <col min="1" max="1" width="100" style="6" customWidth="1"/>
    <col min="2" max="5" width="8.67188" style="6" customWidth="1"/>
    <col min="6" max="16384" width="8.67188" style="6" customWidth="1"/>
  </cols>
  <sheetData>
    <row r="1" ht="17.9" customHeight="1">
      <c r="A1" t="s" s="7">
        <v>6</v>
      </c>
      <c r="B1" s="8"/>
      <c r="C1" s="8"/>
      <c r="D1" s="8"/>
      <c r="E1" s="9"/>
    </row>
    <row r="2" ht="13.55" customHeight="1">
      <c r="A2" t="s" s="10">
        <v>7</v>
      </c>
      <c r="B2" s="11"/>
      <c r="C2" s="11"/>
      <c r="D2" s="11"/>
      <c r="E2" s="12"/>
    </row>
    <row r="3" ht="13.55" customHeight="1">
      <c r="A3" s="13"/>
      <c r="B3" s="11"/>
      <c r="C3" s="11"/>
      <c r="D3" s="11"/>
      <c r="E3" s="12"/>
    </row>
    <row r="4" ht="13.55" customHeight="1">
      <c r="A4" t="s" s="14">
        <v>8</v>
      </c>
      <c r="B4" s="11"/>
      <c r="C4" s="11"/>
      <c r="D4" s="11"/>
      <c r="E4" s="12"/>
    </row>
    <row r="5" ht="13.55" customHeight="1">
      <c r="A5" t="s" s="14">
        <v>9</v>
      </c>
      <c r="B5" s="11"/>
      <c r="C5" s="11"/>
      <c r="D5" s="11"/>
      <c r="E5" s="12"/>
    </row>
    <row r="6" ht="13.55" customHeight="1">
      <c r="A6" t="s" s="14">
        <v>10</v>
      </c>
      <c r="B6" s="11"/>
      <c r="C6" s="11"/>
      <c r="D6" s="11"/>
      <c r="E6" s="12"/>
    </row>
    <row r="7" ht="13.55" customHeight="1">
      <c r="A7" t="s" s="14">
        <v>11</v>
      </c>
      <c r="B7" s="11"/>
      <c r="C7" s="11"/>
      <c r="D7" s="11"/>
      <c r="E7" s="12"/>
    </row>
    <row r="8" ht="13.55" customHeight="1">
      <c r="A8" t="s" s="14">
        <v>12</v>
      </c>
      <c r="B8" s="11"/>
      <c r="C8" s="11"/>
      <c r="D8" s="11"/>
      <c r="E8" s="12"/>
    </row>
    <row r="9" ht="13.55" customHeight="1">
      <c r="A9" s="13"/>
      <c r="B9" s="11"/>
      <c r="C9" s="11"/>
      <c r="D9" s="11"/>
      <c r="E9" s="12"/>
    </row>
    <row r="10" ht="13.55" customHeight="1">
      <c r="A10" t="s" s="14">
        <v>13</v>
      </c>
      <c r="B10" s="11"/>
      <c r="C10" s="11"/>
      <c r="D10" s="11"/>
      <c r="E10" s="12"/>
    </row>
    <row r="11" ht="13.55" customHeight="1">
      <c r="A11" t="s" s="14">
        <v>14</v>
      </c>
      <c r="B11" s="11"/>
      <c r="C11" s="11"/>
      <c r="D11" s="11"/>
      <c r="E11" s="12"/>
    </row>
    <row r="12" ht="13.55" customHeight="1">
      <c r="A12" t="s" s="14">
        <v>15</v>
      </c>
      <c r="B12" s="11"/>
      <c r="C12" s="11"/>
      <c r="D12" s="11"/>
      <c r="E12" s="12"/>
    </row>
    <row r="13" ht="13.55" customHeight="1">
      <c r="A13" t="s" s="14">
        <v>16</v>
      </c>
      <c r="B13" s="11"/>
      <c r="C13" s="11"/>
      <c r="D13" s="11"/>
      <c r="E13" s="12"/>
    </row>
    <row r="14" ht="13.55" customHeight="1">
      <c r="A14" s="13"/>
      <c r="B14" s="11"/>
      <c r="C14" s="11"/>
      <c r="D14" s="11"/>
      <c r="E14" s="12"/>
    </row>
    <row r="15" ht="13.55" customHeight="1">
      <c r="A15" t="s" s="14">
        <v>17</v>
      </c>
      <c r="B15" s="11"/>
      <c r="C15" s="11"/>
      <c r="D15" s="11"/>
      <c r="E15" s="12"/>
    </row>
    <row r="16" ht="13.55" customHeight="1">
      <c r="A16" t="s" s="15">
        <v>18</v>
      </c>
      <c r="B16" s="16"/>
      <c r="C16" s="16"/>
      <c r="D16" s="16"/>
      <c r="E16" s="17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31"/>
  <sheetViews>
    <sheetView workbookViewId="0" showGridLines="0" defaultGridColor="1"/>
  </sheetViews>
  <sheetFormatPr defaultColWidth="8.66667" defaultRowHeight="15" customHeight="1" outlineLevelRow="0" outlineLevelCol="0"/>
  <cols>
    <col min="1" max="1" width="25.625" style="18" customWidth="1"/>
    <col min="2" max="2" width="59.7578" style="18" customWidth="1"/>
    <col min="3" max="3" width="29.875" style="18" customWidth="1"/>
    <col min="4" max="5" width="18.5156" style="18" customWidth="1"/>
    <col min="6" max="16384" width="8.67188" style="18" customWidth="1"/>
  </cols>
  <sheetData>
    <row r="1" ht="17.65" customHeight="1">
      <c r="A1" t="s" s="19">
        <v>20</v>
      </c>
      <c r="B1" t="s" s="19">
        <v>21</v>
      </c>
      <c r="C1" t="s" s="19">
        <v>22</v>
      </c>
      <c r="D1" s="20"/>
      <c r="E1" s="9"/>
    </row>
    <row r="2" ht="17.65" customHeight="1">
      <c r="A2" t="s" s="21">
        <v>23</v>
      </c>
      <c r="B2" t="s" s="21">
        <v>24</v>
      </c>
      <c r="C2" t="s" s="21">
        <v>25</v>
      </c>
      <c r="D2" s="22"/>
      <c r="E2" s="12"/>
    </row>
    <row r="3" ht="17.65" customHeight="1">
      <c r="A3" t="s" s="21">
        <v>26</v>
      </c>
      <c r="B3" t="s" s="21">
        <v>27</v>
      </c>
      <c r="C3" t="s" s="21">
        <v>25</v>
      </c>
      <c r="D3" s="22"/>
      <c r="E3" s="12"/>
    </row>
    <row r="4" ht="17.65" customHeight="1">
      <c r="A4" t="s" s="21">
        <v>28</v>
      </c>
      <c r="B4" t="s" s="21">
        <v>29</v>
      </c>
      <c r="C4" t="s" s="21">
        <v>25</v>
      </c>
      <c r="D4" s="22"/>
      <c r="E4" s="12"/>
    </row>
    <row r="5" ht="17.65" customHeight="1">
      <c r="A5" t="s" s="21">
        <v>30</v>
      </c>
      <c r="B5" t="s" s="21">
        <v>31</v>
      </c>
      <c r="C5" t="s" s="21">
        <v>25</v>
      </c>
      <c r="D5" s="22"/>
      <c r="E5" s="12"/>
    </row>
    <row r="6" ht="17.65" customHeight="1">
      <c r="A6" t="s" s="21">
        <v>32</v>
      </c>
      <c r="B6" t="s" s="21">
        <v>33</v>
      </c>
      <c r="C6" t="s" s="21">
        <v>25</v>
      </c>
      <c r="D6" s="22"/>
      <c r="E6" s="12"/>
    </row>
    <row r="7" ht="17.65" customHeight="1">
      <c r="A7" t="s" s="21">
        <v>34</v>
      </c>
      <c r="B7" t="s" s="21">
        <v>35</v>
      </c>
      <c r="C7" t="s" s="21">
        <v>25</v>
      </c>
      <c r="D7" s="22"/>
      <c r="E7" s="12"/>
    </row>
    <row r="8" ht="17.65" customHeight="1">
      <c r="A8" t="s" s="21">
        <v>36</v>
      </c>
      <c r="B8" t="s" s="21">
        <v>37</v>
      </c>
      <c r="C8" t="s" s="21">
        <v>38</v>
      </c>
      <c r="D8" s="22"/>
      <c r="E8" s="12"/>
    </row>
    <row r="9" ht="17.65" customHeight="1">
      <c r="A9" t="s" s="21">
        <v>39</v>
      </c>
      <c r="B9" t="s" s="21">
        <v>40</v>
      </c>
      <c r="C9" t="s" s="21">
        <v>38</v>
      </c>
      <c r="D9" s="22"/>
      <c r="E9" s="12"/>
    </row>
    <row r="10" ht="17.65" customHeight="1">
      <c r="A10" t="s" s="21">
        <v>41</v>
      </c>
      <c r="B10" t="s" s="21">
        <v>42</v>
      </c>
      <c r="C10" t="s" s="21">
        <v>38</v>
      </c>
      <c r="D10" s="22"/>
      <c r="E10" s="12"/>
    </row>
    <row r="11" ht="17.65" customHeight="1">
      <c r="A11" t="s" s="21">
        <v>43</v>
      </c>
      <c r="B11" t="s" s="21">
        <v>44</v>
      </c>
      <c r="C11" t="s" s="21">
        <v>38</v>
      </c>
      <c r="D11" s="22"/>
      <c r="E11" s="12"/>
    </row>
    <row r="12" ht="17.65" customHeight="1">
      <c r="A12" t="s" s="21">
        <v>45</v>
      </c>
      <c r="B12" t="s" s="21">
        <v>46</v>
      </c>
      <c r="C12" t="s" s="21">
        <v>38</v>
      </c>
      <c r="D12" s="22"/>
      <c r="E12" s="12"/>
    </row>
    <row r="13" ht="17.65" customHeight="1">
      <c r="A13" t="s" s="21">
        <v>47</v>
      </c>
      <c r="B13" t="s" s="21">
        <v>48</v>
      </c>
      <c r="C13" t="s" s="21">
        <v>38</v>
      </c>
      <c r="D13" s="22"/>
      <c r="E13" s="12"/>
    </row>
    <row r="14" ht="17.65" customHeight="1">
      <c r="A14" t="s" s="21">
        <v>49</v>
      </c>
      <c r="B14" t="s" s="21">
        <v>50</v>
      </c>
      <c r="C14" t="s" s="21">
        <v>51</v>
      </c>
      <c r="D14" s="22"/>
      <c r="E14" s="12"/>
    </row>
    <row r="15" ht="17.65" customHeight="1">
      <c r="A15" t="s" s="21">
        <v>52</v>
      </c>
      <c r="B15" t="s" s="21">
        <v>53</v>
      </c>
      <c r="C15" t="s" s="21">
        <v>51</v>
      </c>
      <c r="D15" s="22"/>
      <c r="E15" s="12"/>
    </row>
    <row r="16" ht="17.65" customHeight="1">
      <c r="A16" t="s" s="21">
        <v>54</v>
      </c>
      <c r="B16" t="s" s="21">
        <v>55</v>
      </c>
      <c r="C16" t="s" s="21">
        <v>51</v>
      </c>
      <c r="D16" s="22"/>
      <c r="E16" s="12"/>
    </row>
    <row r="17" ht="17.65" customHeight="1">
      <c r="A17" t="s" s="21">
        <v>56</v>
      </c>
      <c r="B17" t="s" s="21">
        <v>57</v>
      </c>
      <c r="C17" t="s" s="21">
        <v>51</v>
      </c>
      <c r="D17" s="22"/>
      <c r="E17" s="12"/>
    </row>
    <row r="18" ht="17.65" customHeight="1">
      <c r="A18" t="s" s="21">
        <v>58</v>
      </c>
      <c r="B18" t="s" s="21">
        <v>59</v>
      </c>
      <c r="C18" t="s" s="21">
        <v>51</v>
      </c>
      <c r="D18" s="22"/>
      <c r="E18" s="12"/>
    </row>
    <row r="19" ht="17.65" customHeight="1">
      <c r="A19" t="s" s="21">
        <v>60</v>
      </c>
      <c r="B19" t="s" s="21">
        <v>61</v>
      </c>
      <c r="C19" t="s" s="21">
        <v>51</v>
      </c>
      <c r="D19" s="22"/>
      <c r="E19" s="12"/>
    </row>
    <row r="20" ht="17.65" customHeight="1">
      <c r="A20" t="s" s="21">
        <v>62</v>
      </c>
      <c r="B20" t="s" s="21">
        <v>63</v>
      </c>
      <c r="C20" t="s" s="21">
        <v>64</v>
      </c>
      <c r="D20" s="22"/>
      <c r="E20" s="12"/>
    </row>
    <row r="21" ht="17.65" customHeight="1">
      <c r="A21" t="s" s="21">
        <v>65</v>
      </c>
      <c r="B21" t="s" s="21">
        <v>66</v>
      </c>
      <c r="C21" t="s" s="21">
        <v>64</v>
      </c>
      <c r="D21" s="22"/>
      <c r="E21" s="12"/>
    </row>
    <row r="22" ht="17.65" customHeight="1">
      <c r="A22" t="s" s="21">
        <v>67</v>
      </c>
      <c r="B22" t="s" s="21">
        <v>68</v>
      </c>
      <c r="C22" t="s" s="21">
        <v>64</v>
      </c>
      <c r="D22" s="22"/>
      <c r="E22" s="12"/>
    </row>
    <row r="23" ht="17.65" customHeight="1">
      <c r="A23" t="s" s="21">
        <v>69</v>
      </c>
      <c r="B23" t="s" s="21">
        <v>70</v>
      </c>
      <c r="C23" t="s" s="21">
        <v>64</v>
      </c>
      <c r="D23" s="22"/>
      <c r="E23" s="12"/>
    </row>
    <row r="24" ht="17.65" customHeight="1">
      <c r="A24" t="s" s="21">
        <v>71</v>
      </c>
      <c r="B24" t="s" s="21">
        <v>72</v>
      </c>
      <c r="C24" t="s" s="21">
        <v>64</v>
      </c>
      <c r="D24" s="22"/>
      <c r="E24" s="12"/>
    </row>
    <row r="25" ht="17.65" customHeight="1">
      <c r="A25" t="s" s="21">
        <v>73</v>
      </c>
      <c r="B25" t="s" s="21">
        <v>74</v>
      </c>
      <c r="C25" t="s" s="21">
        <v>64</v>
      </c>
      <c r="D25" s="22"/>
      <c r="E25" s="12"/>
    </row>
    <row r="26" ht="17.65" customHeight="1">
      <c r="A26" t="s" s="21">
        <v>75</v>
      </c>
      <c r="B26" t="s" s="21">
        <v>76</v>
      </c>
      <c r="C26" t="s" s="21">
        <v>77</v>
      </c>
      <c r="D26" s="22"/>
      <c r="E26" s="12"/>
    </row>
    <row r="27" ht="17.65" customHeight="1">
      <c r="A27" t="s" s="21">
        <v>78</v>
      </c>
      <c r="B27" t="s" s="21">
        <v>79</v>
      </c>
      <c r="C27" t="s" s="21">
        <v>77</v>
      </c>
      <c r="D27" s="22"/>
      <c r="E27" s="12"/>
    </row>
    <row r="28" ht="17.65" customHeight="1">
      <c r="A28" t="s" s="21">
        <v>80</v>
      </c>
      <c r="B28" t="s" s="21">
        <v>81</v>
      </c>
      <c r="C28" t="s" s="21">
        <v>77</v>
      </c>
      <c r="D28" s="22"/>
      <c r="E28" s="12"/>
    </row>
    <row r="29" ht="17.65" customHeight="1">
      <c r="A29" t="s" s="21">
        <v>82</v>
      </c>
      <c r="B29" t="s" s="21">
        <v>83</v>
      </c>
      <c r="C29" t="s" s="21">
        <v>77</v>
      </c>
      <c r="D29" s="22"/>
      <c r="E29" s="12"/>
    </row>
    <row r="30" ht="17.65" customHeight="1">
      <c r="A30" t="s" s="21">
        <v>84</v>
      </c>
      <c r="B30" t="s" s="21">
        <v>85</v>
      </c>
      <c r="C30" t="s" s="21">
        <v>77</v>
      </c>
      <c r="D30" s="22"/>
      <c r="E30" s="12"/>
    </row>
    <row r="31" ht="17.65" customHeight="1">
      <c r="A31" t="s" s="23">
        <v>86</v>
      </c>
      <c r="B31" t="s" s="23">
        <v>87</v>
      </c>
      <c r="C31" t="s" s="23">
        <v>77</v>
      </c>
      <c r="D31" s="24"/>
      <c r="E31" s="17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151"/>
  <sheetViews>
    <sheetView workbookViewId="0" showGridLines="0" defaultGridColor="1"/>
  </sheetViews>
  <sheetFormatPr defaultColWidth="8.66667" defaultRowHeight="15" customHeight="1" outlineLevelRow="0" outlineLevelCol="0"/>
  <cols>
    <col min="1" max="1" width="17.6719" style="25" customWidth="1"/>
    <col min="2" max="2" width="11" style="25" customWidth="1"/>
    <col min="3" max="3" width="22.7578" style="25" customWidth="1"/>
    <col min="4" max="4" width="8" style="25" customWidth="1"/>
    <col min="5" max="5" width="14.3516" style="25" customWidth="1"/>
    <col min="6" max="6" width="20" style="25" customWidth="1"/>
    <col min="7" max="7" width="9" style="25" customWidth="1"/>
    <col min="8" max="8" width="32" style="25" customWidth="1"/>
    <col min="9" max="16384" width="8.67188" style="25" customWidth="1"/>
  </cols>
  <sheetData>
    <row r="1" ht="34.5" customHeight="1">
      <c r="A1" t="s" s="26">
        <v>89</v>
      </c>
      <c r="B1" t="s" s="26">
        <v>20</v>
      </c>
      <c r="C1" t="s" s="26">
        <v>90</v>
      </c>
      <c r="D1" t="s" s="26">
        <v>91</v>
      </c>
      <c r="E1" t="s" s="26">
        <v>92</v>
      </c>
      <c r="F1" t="s" s="26">
        <v>93</v>
      </c>
      <c r="G1" t="s" s="26">
        <v>94</v>
      </c>
      <c r="H1" t="s" s="26">
        <v>95</v>
      </c>
    </row>
    <row r="2" ht="18.5" customHeight="1">
      <c r="A2" t="s" s="21">
        <v>96</v>
      </c>
      <c r="B2" t="s" s="21">
        <v>67</v>
      </c>
      <c r="C2" t="s" s="21">
        <v>25</v>
      </c>
      <c r="D2" s="27">
        <v>2023</v>
      </c>
      <c r="E2" t="s" s="21">
        <v>97</v>
      </c>
      <c r="F2" s="27">
        <v>47.9</v>
      </c>
      <c r="G2" s="27">
        <v>9</v>
      </c>
      <c r="H2" t="str" s="28" cm="1">
        <f t="array" ref="H2">VLOOKUP(B2,'Stammdaten'!$A$2:$C$31,3,FALSE)</f>
        <v>Wartung</v>
      </c>
    </row>
    <row r="3" ht="18.5" customHeight="1">
      <c r="A3" t="s" s="21">
        <v>99</v>
      </c>
      <c r="B3" t="s" s="21">
        <v>73</v>
      </c>
      <c r="C3" t="s" s="21">
        <v>25</v>
      </c>
      <c r="D3" s="27">
        <v>2025</v>
      </c>
      <c r="E3" t="s" s="21">
        <v>97</v>
      </c>
      <c r="F3" s="27">
        <v>100.4</v>
      </c>
      <c r="G3" s="27">
        <v>38</v>
      </c>
      <c r="H3" t="str" s="28" cm="1">
        <f t="array" ref="H3">VLOOKUP(B3,'Stammdaten'!$A$2:$C$31,3,FALSE)</f>
        <v>Wartung</v>
      </c>
    </row>
    <row r="4" ht="18.5" customHeight="1">
      <c r="A4" t="s" s="21">
        <v>100</v>
      </c>
      <c r="B4" t="s" s="21">
        <v>52</v>
      </c>
      <c r="C4" t="s" s="21">
        <v>25</v>
      </c>
      <c r="D4" s="27">
        <v>2023</v>
      </c>
      <c r="E4" t="s" s="21">
        <v>101</v>
      </c>
      <c r="F4" s="27">
        <v>45.7</v>
      </c>
      <c r="G4" s="27">
        <v>39</v>
      </c>
      <c r="H4" t="str" s="28" cm="1">
        <f t="array" ref="H4">VLOOKUP(B4,'Stammdaten'!$A$2:$C$31,3,FALSE)</f>
        <v>Reinigung</v>
      </c>
    </row>
    <row r="5" ht="18.5" customHeight="1">
      <c r="A5" t="s" s="21">
        <v>103</v>
      </c>
      <c r="B5" t="s" s="21">
        <v>23</v>
      </c>
      <c r="C5" t="s" s="21">
        <v>104</v>
      </c>
      <c r="D5" s="27">
        <v>2023</v>
      </c>
      <c r="E5" t="s" s="21">
        <v>97</v>
      </c>
      <c r="F5" s="27">
        <v>127.7</v>
      </c>
      <c r="G5" s="27">
        <v>27</v>
      </c>
      <c r="H5" t="str" s="28" cm="1">
        <f t="array" ref="H5">VLOOKUP(B5,'Stammdaten'!$A$2:$C$31,3,FALSE)</f>
        <v>Lager</v>
      </c>
    </row>
    <row r="6" ht="18.5" customHeight="1">
      <c r="A6" t="s" s="21">
        <v>106</v>
      </c>
      <c r="B6" t="s" s="21">
        <v>39</v>
      </c>
      <c r="C6" t="s" s="21">
        <v>64</v>
      </c>
      <c r="D6" s="27">
        <v>2025</v>
      </c>
      <c r="E6" t="s" s="21">
        <v>101</v>
      </c>
      <c r="F6" s="27">
        <v>157.1</v>
      </c>
      <c r="G6" s="27">
        <v>49</v>
      </c>
      <c r="H6" t="str" s="28" cm="1">
        <f t="array" ref="H6">VLOOKUP(B6,'Stammdaten'!$A$2:$C$31,3,FALSE)</f>
        <v>Versand</v>
      </c>
    </row>
    <row r="7" ht="18.5" customHeight="1">
      <c r="A7" t="s" s="21">
        <v>108</v>
      </c>
      <c r="B7" t="s" s="21">
        <v>78</v>
      </c>
      <c r="C7" t="s" s="21">
        <v>38</v>
      </c>
      <c r="D7" s="27">
        <v>2025</v>
      </c>
      <c r="E7" t="s" s="21">
        <v>97</v>
      </c>
      <c r="F7" s="27">
        <v>53.6</v>
      </c>
      <c r="G7" s="27">
        <v>14</v>
      </c>
      <c r="H7" t="str" s="28" cm="1">
        <f t="array" ref="H7">VLOOKUP(B7,'Stammdaten'!$A$2:$C$31,3,FALSE)</f>
        <v>Produktion</v>
      </c>
    </row>
    <row r="8" ht="18.5" customHeight="1">
      <c r="A8" t="s" s="21">
        <v>110</v>
      </c>
      <c r="B8" t="s" s="21">
        <v>75</v>
      </c>
      <c r="C8" t="s" s="21">
        <v>77</v>
      </c>
      <c r="D8" s="27">
        <v>2023</v>
      </c>
      <c r="E8" t="s" s="21">
        <v>101</v>
      </c>
      <c r="F8" s="27">
        <v>21.9</v>
      </c>
      <c r="G8" s="27">
        <v>23</v>
      </c>
      <c r="H8" t="str" s="28" cm="1">
        <f t="array" ref="H8">VLOOKUP(B8,'Stammdaten'!$A$2:$C$31,3,FALSE)</f>
        <v>Produktion</v>
      </c>
    </row>
    <row r="9" ht="18.5" customHeight="1">
      <c r="A9" t="s" s="21">
        <v>111</v>
      </c>
      <c r="B9" t="s" s="21">
        <v>65</v>
      </c>
      <c r="C9" t="s" s="21">
        <v>77</v>
      </c>
      <c r="D9" s="27">
        <v>2023</v>
      </c>
      <c r="E9" t="s" s="21">
        <v>97</v>
      </c>
      <c r="F9" s="27">
        <v>98.8</v>
      </c>
      <c r="G9" s="27">
        <v>25</v>
      </c>
      <c r="H9" t="str" s="28" cm="1">
        <f t="array" ref="H9">VLOOKUP(B9,'Stammdaten'!$A$2:$C$31,3,FALSE)</f>
        <v>Wartung</v>
      </c>
    </row>
    <row r="10" ht="18.5" customHeight="1">
      <c r="A10" t="s" s="21">
        <v>112</v>
      </c>
      <c r="B10" t="s" s="21">
        <v>28</v>
      </c>
      <c r="C10" t="s" s="21">
        <v>104</v>
      </c>
      <c r="D10" s="27">
        <v>2024</v>
      </c>
      <c r="E10" t="s" s="21">
        <v>97</v>
      </c>
      <c r="F10" s="27">
        <v>113.2</v>
      </c>
      <c r="G10" s="27">
        <v>24</v>
      </c>
      <c r="H10" t="str" s="28" cm="1">
        <f t="array" ref="H10">VLOOKUP(B10,'Stammdaten'!$A$2:$C$31,3,FALSE)</f>
        <v>Lager</v>
      </c>
    </row>
    <row r="11" ht="18.5" customHeight="1">
      <c r="A11" t="s" s="21">
        <v>113</v>
      </c>
      <c r="B11" t="s" s="21">
        <v>62</v>
      </c>
      <c r="C11" t="s" s="21">
        <v>38</v>
      </c>
      <c r="D11" s="27">
        <v>2025</v>
      </c>
      <c r="E11" t="s" s="21">
        <v>101</v>
      </c>
      <c r="F11" s="27">
        <v>120.7</v>
      </c>
      <c r="G11" s="27">
        <v>50</v>
      </c>
      <c r="H11" t="str" s="28" cm="1">
        <f t="array" ref="H11">VLOOKUP(B11,'Stammdaten'!$A$2:$C$31,3,FALSE)</f>
        <v>Wartung</v>
      </c>
    </row>
    <row r="12" ht="18.5" customHeight="1">
      <c r="A12" t="s" s="21">
        <v>114</v>
      </c>
      <c r="B12" t="s" s="21">
        <v>43</v>
      </c>
      <c r="C12" t="s" s="21">
        <v>25</v>
      </c>
      <c r="D12" s="27">
        <v>2023</v>
      </c>
      <c r="E12" t="s" s="21">
        <v>97</v>
      </c>
      <c r="F12" s="27">
        <v>71.5</v>
      </c>
      <c r="G12" s="27">
        <v>30</v>
      </c>
      <c r="H12" t="str" s="28" cm="1">
        <f t="array" ref="H12">VLOOKUP(B12,'Stammdaten'!$A$2:$C$31,3,FALSE)</f>
        <v>Versand</v>
      </c>
    </row>
    <row r="13" ht="18.5" customHeight="1">
      <c r="A13" t="s" s="21">
        <v>115</v>
      </c>
      <c r="B13" t="s" s="21">
        <v>67</v>
      </c>
      <c r="C13" t="s" s="21">
        <v>77</v>
      </c>
      <c r="D13" s="27">
        <v>2023</v>
      </c>
      <c r="E13" t="s" s="21">
        <v>97</v>
      </c>
      <c r="F13" s="27">
        <v>41.7</v>
      </c>
      <c r="G13" s="27">
        <v>18</v>
      </c>
      <c r="H13" t="str" s="28" cm="1">
        <f t="array" ref="H13">VLOOKUP(B13,'Stammdaten'!$A$2:$C$31,3,FALSE)</f>
        <v>Wartung</v>
      </c>
    </row>
    <row r="14" ht="18.5" customHeight="1">
      <c r="A14" t="s" s="21">
        <v>116</v>
      </c>
      <c r="B14" t="s" s="21">
        <v>71</v>
      </c>
      <c r="C14" t="s" s="21">
        <v>25</v>
      </c>
      <c r="D14" s="27">
        <v>2025</v>
      </c>
      <c r="E14" t="s" s="21">
        <v>97</v>
      </c>
      <c r="F14" s="27">
        <v>98.5</v>
      </c>
      <c r="G14" s="27">
        <v>16</v>
      </c>
      <c r="H14" t="str" s="28" cm="1">
        <f t="array" ref="H14">VLOOKUP(B14,'Stammdaten'!$A$2:$C$31,3,FALSE)</f>
        <v>Wartung</v>
      </c>
    </row>
    <row r="15" ht="18.5" customHeight="1">
      <c r="A15" t="s" s="21">
        <v>117</v>
      </c>
      <c r="B15" t="s" s="21">
        <v>34</v>
      </c>
      <c r="C15" t="s" s="21">
        <v>64</v>
      </c>
      <c r="D15" s="27">
        <v>2024</v>
      </c>
      <c r="E15" t="s" s="21">
        <v>101</v>
      </c>
      <c r="F15" s="27">
        <v>166.9</v>
      </c>
      <c r="G15" s="27">
        <v>45</v>
      </c>
      <c r="H15" t="str" s="28" cm="1">
        <f t="array" ref="H15">VLOOKUP(B15,'Stammdaten'!$A$2:$C$31,3,FALSE)</f>
        <v>Lager</v>
      </c>
    </row>
    <row r="16" ht="18.5" customHeight="1">
      <c r="A16" t="s" s="21">
        <v>118</v>
      </c>
      <c r="B16" t="s" s="21">
        <v>60</v>
      </c>
      <c r="C16" t="s" s="21">
        <v>38</v>
      </c>
      <c r="D16" s="27">
        <v>2025</v>
      </c>
      <c r="E16" t="s" s="21">
        <v>101</v>
      </c>
      <c r="F16" s="27">
        <v>139.5</v>
      </c>
      <c r="G16" s="27">
        <v>4</v>
      </c>
      <c r="H16" t="str" s="28" cm="1">
        <f t="array" ref="H16">VLOOKUP(B16,'Stammdaten'!$A$2:$C$31,3,FALSE)</f>
        <v>Reinigung</v>
      </c>
    </row>
    <row r="17" ht="18.5" customHeight="1">
      <c r="A17" t="s" s="21">
        <v>119</v>
      </c>
      <c r="B17" t="s" s="21">
        <v>39</v>
      </c>
      <c r="C17" t="s" s="21">
        <v>25</v>
      </c>
      <c r="D17" s="27">
        <v>2024</v>
      </c>
      <c r="E17" t="s" s="21">
        <v>97</v>
      </c>
      <c r="F17" s="27">
        <v>16.6</v>
      </c>
      <c r="G17" s="27">
        <v>37</v>
      </c>
      <c r="H17" t="str" s="28" cm="1">
        <f t="array" ref="H17">VLOOKUP(B17,'Stammdaten'!$A$2:$C$31,3,FALSE)</f>
        <v>Versand</v>
      </c>
    </row>
    <row r="18" ht="18.5" customHeight="1">
      <c r="A18" t="s" s="21">
        <v>120</v>
      </c>
      <c r="B18" t="s" s="21">
        <v>84</v>
      </c>
      <c r="C18" t="s" s="21">
        <v>77</v>
      </c>
      <c r="D18" s="27">
        <v>2023</v>
      </c>
      <c r="E18" t="s" s="21">
        <v>97</v>
      </c>
      <c r="F18" s="27">
        <v>74.2</v>
      </c>
      <c r="G18" s="27">
        <v>42</v>
      </c>
      <c r="H18" t="str" s="28" cm="1">
        <f t="array" ref="H18">VLOOKUP(B18,'Stammdaten'!$A$2:$C$31,3,FALSE)</f>
        <v>Produktion</v>
      </c>
    </row>
    <row r="19" ht="18.5" customHeight="1">
      <c r="A19" t="s" s="21">
        <v>121</v>
      </c>
      <c r="B19" t="s" s="21">
        <v>54</v>
      </c>
      <c r="C19" t="s" s="21">
        <v>38</v>
      </c>
      <c r="D19" s="27">
        <v>2024</v>
      </c>
      <c r="E19" t="s" s="21">
        <v>101</v>
      </c>
      <c r="F19" s="27">
        <v>135.4</v>
      </c>
      <c r="G19" s="27">
        <v>35</v>
      </c>
      <c r="H19" t="str" s="28" cm="1">
        <f t="array" ref="H19">VLOOKUP(B19,'Stammdaten'!$A$2:$C$31,3,FALSE)</f>
        <v>Reinigung</v>
      </c>
    </row>
    <row r="20" ht="18.5" customHeight="1">
      <c r="A20" t="s" s="21">
        <v>122</v>
      </c>
      <c r="B20" t="s" s="21">
        <v>41</v>
      </c>
      <c r="C20" t="s" s="21">
        <v>104</v>
      </c>
      <c r="D20" s="27">
        <v>2024</v>
      </c>
      <c r="E20" t="s" s="21">
        <v>97</v>
      </c>
      <c r="F20" s="27">
        <v>74.90000000000001</v>
      </c>
      <c r="G20" s="27">
        <v>15</v>
      </c>
      <c r="H20" t="str" s="28" cm="1">
        <f t="array" ref="H20">VLOOKUP(B20,'Stammdaten'!$A$2:$C$31,3,FALSE)</f>
        <v>Versand</v>
      </c>
    </row>
    <row r="21" ht="18.5" customHeight="1">
      <c r="A21" t="s" s="21">
        <v>123</v>
      </c>
      <c r="B21" t="s" s="21">
        <v>32</v>
      </c>
      <c r="C21" t="s" s="21">
        <v>104</v>
      </c>
      <c r="D21" s="27">
        <v>2024</v>
      </c>
      <c r="E21" t="s" s="21">
        <v>101</v>
      </c>
      <c r="F21" s="27">
        <v>13.2</v>
      </c>
      <c r="G21" s="27">
        <v>8</v>
      </c>
      <c r="H21" t="str" s="28" cm="1">
        <f t="array" ref="H21">VLOOKUP(B21,'Stammdaten'!$A$2:$C$31,3,FALSE)</f>
        <v>Lager</v>
      </c>
    </row>
    <row r="22" ht="18.5" customHeight="1">
      <c r="A22" t="s" s="21">
        <v>124</v>
      </c>
      <c r="B22" t="s" s="21">
        <v>32</v>
      </c>
      <c r="C22" t="s" s="21">
        <v>38</v>
      </c>
      <c r="D22" s="27">
        <v>2025</v>
      </c>
      <c r="E22" t="s" s="21">
        <v>97</v>
      </c>
      <c r="F22" s="27">
        <v>16.1</v>
      </c>
      <c r="G22" s="27">
        <v>25</v>
      </c>
      <c r="H22" t="str" s="28" cm="1">
        <f t="array" ref="H22">VLOOKUP(B22,'Stammdaten'!$A$2:$C$31,3,FALSE)</f>
        <v>Lager</v>
      </c>
    </row>
    <row r="23" ht="18.5" customHeight="1">
      <c r="A23" t="s" s="21">
        <v>125</v>
      </c>
      <c r="B23" t="s" s="21">
        <v>65</v>
      </c>
      <c r="C23" t="s" s="21">
        <v>64</v>
      </c>
      <c r="D23" s="27">
        <v>2025</v>
      </c>
      <c r="E23" t="s" s="21">
        <v>101</v>
      </c>
      <c r="F23" s="27">
        <v>101.8</v>
      </c>
      <c r="G23" s="27">
        <v>1</v>
      </c>
      <c r="H23" t="str" s="28" cm="1">
        <f t="array" ref="H23">VLOOKUP(B23,'Stammdaten'!$A$2:$C$31,3,FALSE)</f>
        <v>Wartung</v>
      </c>
    </row>
    <row r="24" ht="18.5" customHeight="1">
      <c r="A24" t="s" s="21">
        <v>126</v>
      </c>
      <c r="B24" t="s" s="21">
        <v>69</v>
      </c>
      <c r="C24" t="s" s="21">
        <v>25</v>
      </c>
      <c r="D24" s="27">
        <v>2025</v>
      </c>
      <c r="E24" t="s" s="21">
        <v>97</v>
      </c>
      <c r="F24" s="27">
        <v>136.4</v>
      </c>
      <c r="G24" s="27">
        <v>50</v>
      </c>
      <c r="H24" t="str" s="28" cm="1">
        <f t="array" ref="H24">VLOOKUP(B24,'Stammdaten'!$A$2:$C$31,3,FALSE)</f>
        <v>Wartung</v>
      </c>
    </row>
    <row r="25" ht="18.5" customHeight="1">
      <c r="A25" t="s" s="21">
        <v>127</v>
      </c>
      <c r="B25" t="s" s="21">
        <v>67</v>
      </c>
      <c r="C25" t="s" s="21">
        <v>77</v>
      </c>
      <c r="D25" s="27">
        <v>2023</v>
      </c>
      <c r="E25" t="s" s="21">
        <v>101</v>
      </c>
      <c r="F25" s="27">
        <v>32.7</v>
      </c>
      <c r="G25" s="27">
        <v>1</v>
      </c>
      <c r="H25" t="str" s="28" cm="1">
        <f t="array" ref="H25">VLOOKUP(B25,'Stammdaten'!$A$2:$C$31,3,FALSE)</f>
        <v>Wartung</v>
      </c>
    </row>
    <row r="26" ht="18.5" customHeight="1">
      <c r="A26" t="s" s="21">
        <v>128</v>
      </c>
      <c r="B26" t="s" s="21">
        <v>73</v>
      </c>
      <c r="C26" t="s" s="21">
        <v>77</v>
      </c>
      <c r="D26" s="27">
        <v>2025</v>
      </c>
      <c r="E26" t="s" s="21">
        <v>97</v>
      </c>
      <c r="F26" s="27">
        <v>93.8</v>
      </c>
      <c r="G26" s="27">
        <v>7</v>
      </c>
      <c r="H26" t="str" s="28" cm="1">
        <f t="array" ref="H26">VLOOKUP(B26,'Stammdaten'!$A$2:$C$31,3,FALSE)</f>
        <v>Wartung</v>
      </c>
    </row>
    <row r="27" ht="18.5" customHeight="1">
      <c r="A27" t="s" s="21">
        <v>129</v>
      </c>
      <c r="B27" t="s" s="21">
        <v>82</v>
      </c>
      <c r="C27" t="s" s="21">
        <v>77</v>
      </c>
      <c r="D27" s="27">
        <v>2025</v>
      </c>
      <c r="E27" t="s" s="21">
        <v>97</v>
      </c>
      <c r="F27" s="27">
        <v>39.8</v>
      </c>
      <c r="G27" s="27">
        <v>24</v>
      </c>
      <c r="H27" t="str" s="28" cm="1">
        <f t="array" ref="H27">VLOOKUP(B27,'Stammdaten'!$A$2:$C$31,3,FALSE)</f>
        <v>Produktion</v>
      </c>
    </row>
    <row r="28" ht="18.5" customHeight="1">
      <c r="A28" t="s" s="21">
        <v>130</v>
      </c>
      <c r="B28" t="s" s="21">
        <v>75</v>
      </c>
      <c r="C28" t="s" s="21">
        <v>38</v>
      </c>
      <c r="D28" s="27">
        <v>2025</v>
      </c>
      <c r="E28" t="s" s="21">
        <v>131</v>
      </c>
      <c r="F28" s="27">
        <v>166.4</v>
      </c>
      <c r="G28" s="27">
        <v>1</v>
      </c>
      <c r="H28" t="str" s="28" cm="1">
        <f t="array" ref="H28">VLOOKUP(B28,'Stammdaten'!$A$2:$C$31,3,FALSE)</f>
        <v>Produktion</v>
      </c>
    </row>
    <row r="29" ht="18.5" customHeight="1">
      <c r="A29" t="s" s="21">
        <v>132</v>
      </c>
      <c r="B29" t="s" s="21">
        <v>65</v>
      </c>
      <c r="C29" t="s" s="21">
        <v>77</v>
      </c>
      <c r="D29" s="27">
        <v>2024</v>
      </c>
      <c r="E29" t="s" s="21">
        <v>101</v>
      </c>
      <c r="F29" s="27">
        <v>167.6</v>
      </c>
      <c r="G29" s="27">
        <v>20</v>
      </c>
      <c r="H29" t="str" s="28" cm="1">
        <f t="array" ref="H29">VLOOKUP(B29,'Stammdaten'!$A$2:$C$31,3,FALSE)</f>
        <v>Wartung</v>
      </c>
    </row>
    <row r="30" ht="18.5" customHeight="1">
      <c r="A30" t="s" s="21">
        <v>133</v>
      </c>
      <c r="B30" t="s" s="21">
        <v>39</v>
      </c>
      <c r="C30" t="s" s="21">
        <v>25</v>
      </c>
      <c r="D30" s="27">
        <v>2023</v>
      </c>
      <c r="E30" t="s" s="21">
        <v>97</v>
      </c>
      <c r="F30" s="27">
        <v>170.7</v>
      </c>
      <c r="G30" s="27">
        <v>6</v>
      </c>
      <c r="H30" t="str" s="28" cm="1">
        <f t="array" ref="H30">VLOOKUP(B30,'Stammdaten'!$A$2:$C$31,3,FALSE)</f>
        <v>Versand</v>
      </c>
    </row>
    <row r="31" ht="18.5" customHeight="1">
      <c r="A31" t="s" s="21">
        <v>134</v>
      </c>
      <c r="B31" t="s" s="21">
        <v>73</v>
      </c>
      <c r="C31" t="s" s="21">
        <v>64</v>
      </c>
      <c r="D31" s="27">
        <v>2023</v>
      </c>
      <c r="E31" t="s" s="21">
        <v>131</v>
      </c>
      <c r="F31" s="27">
        <v>98.2</v>
      </c>
      <c r="G31" s="27">
        <v>9</v>
      </c>
      <c r="H31" t="str" s="28" cm="1">
        <f t="array" ref="H31">VLOOKUP(B31,'Stammdaten'!$A$2:$C$31,3,FALSE)</f>
        <v>Wartung</v>
      </c>
    </row>
    <row r="32" ht="18.5" customHeight="1">
      <c r="A32" t="s" s="21">
        <v>135</v>
      </c>
      <c r="B32" t="s" s="21">
        <v>32</v>
      </c>
      <c r="C32" t="s" s="21">
        <v>64</v>
      </c>
      <c r="D32" s="27">
        <v>2025</v>
      </c>
      <c r="E32" t="s" s="21">
        <v>101</v>
      </c>
      <c r="F32" s="27">
        <v>97.3</v>
      </c>
      <c r="G32" s="27">
        <v>39</v>
      </c>
      <c r="H32" t="str" s="28" cm="1">
        <f t="array" ref="H32">VLOOKUP(B32,'Stammdaten'!$A$2:$C$31,3,FALSE)</f>
        <v>Lager</v>
      </c>
    </row>
    <row r="33" ht="18.5" customHeight="1">
      <c r="A33" t="s" s="21">
        <v>136</v>
      </c>
      <c r="B33" t="s" s="21">
        <v>52</v>
      </c>
      <c r="C33" t="s" s="21">
        <v>38</v>
      </c>
      <c r="D33" s="27">
        <v>2025</v>
      </c>
      <c r="E33" t="s" s="21">
        <v>97</v>
      </c>
      <c r="F33" s="27">
        <v>125.7</v>
      </c>
      <c r="G33" s="27">
        <v>46</v>
      </c>
      <c r="H33" t="str" s="28" cm="1">
        <f t="array" ref="H33">VLOOKUP(B33,'Stammdaten'!$A$2:$C$31,3,FALSE)</f>
        <v>Reinigung</v>
      </c>
    </row>
    <row r="34" ht="18.5" customHeight="1">
      <c r="A34" t="s" s="21">
        <v>137</v>
      </c>
      <c r="B34" t="s" s="21">
        <v>43</v>
      </c>
      <c r="C34" t="s" s="21">
        <v>64</v>
      </c>
      <c r="D34" s="27">
        <v>2025</v>
      </c>
      <c r="E34" t="s" s="21">
        <v>97</v>
      </c>
      <c r="F34" s="27">
        <v>81.7</v>
      </c>
      <c r="G34" s="27">
        <v>34</v>
      </c>
      <c r="H34" t="str" s="28" cm="1">
        <f t="array" ref="H34">VLOOKUP(B34,'Stammdaten'!$A$2:$C$31,3,FALSE)</f>
        <v>Versand</v>
      </c>
    </row>
    <row r="35" ht="18.5" customHeight="1">
      <c r="A35" t="s" s="21">
        <v>138</v>
      </c>
      <c r="B35" t="s" s="21">
        <v>54</v>
      </c>
      <c r="C35" t="s" s="21">
        <v>25</v>
      </c>
      <c r="D35" s="27">
        <v>2023</v>
      </c>
      <c r="E35" t="s" s="21">
        <v>101</v>
      </c>
      <c r="F35" s="27">
        <v>64.2</v>
      </c>
      <c r="G35" s="27">
        <v>38</v>
      </c>
      <c r="H35" t="str" s="28" cm="1">
        <f t="array" ref="H35">VLOOKUP(B35,'Stammdaten'!$A$2:$C$31,3,FALSE)</f>
        <v>Reinigung</v>
      </c>
    </row>
    <row r="36" ht="18.5" customHeight="1">
      <c r="A36" t="s" s="21">
        <v>139</v>
      </c>
      <c r="B36" t="s" s="21">
        <v>60</v>
      </c>
      <c r="C36" t="s" s="21">
        <v>38</v>
      </c>
      <c r="D36" s="27">
        <v>2025</v>
      </c>
      <c r="E36" t="s" s="21">
        <v>101</v>
      </c>
      <c r="F36" s="27">
        <v>17.4</v>
      </c>
      <c r="G36" s="27">
        <v>41</v>
      </c>
      <c r="H36" t="str" s="28" cm="1">
        <f t="array" ref="H36">VLOOKUP(B36,'Stammdaten'!$A$2:$C$31,3,FALSE)</f>
        <v>Reinigung</v>
      </c>
    </row>
    <row r="37" ht="18.5" customHeight="1">
      <c r="A37" t="s" s="21">
        <v>140</v>
      </c>
      <c r="B37" t="s" s="21">
        <v>26</v>
      </c>
      <c r="C37" t="s" s="21">
        <v>38</v>
      </c>
      <c r="D37" s="27">
        <v>2023</v>
      </c>
      <c r="E37" t="s" s="21">
        <v>131</v>
      </c>
      <c r="F37" s="27">
        <v>155.4</v>
      </c>
      <c r="G37" s="27">
        <v>5</v>
      </c>
      <c r="H37" t="str" s="28" cm="1">
        <f t="array" ref="H37">VLOOKUP(B37,'Stammdaten'!$A$2:$C$31,3,FALSE)</f>
        <v>Lager</v>
      </c>
    </row>
    <row r="38" ht="18.5" customHeight="1">
      <c r="A38" t="s" s="21">
        <v>141</v>
      </c>
      <c r="B38" t="s" s="21">
        <v>58</v>
      </c>
      <c r="C38" t="s" s="21">
        <v>38</v>
      </c>
      <c r="D38" s="27">
        <v>2024</v>
      </c>
      <c r="E38" t="s" s="21">
        <v>97</v>
      </c>
      <c r="F38" s="27">
        <v>42.5</v>
      </c>
      <c r="G38" s="27">
        <v>9</v>
      </c>
      <c r="H38" t="str" s="28" cm="1">
        <f t="array" ref="H38">VLOOKUP(B38,'Stammdaten'!$A$2:$C$31,3,FALSE)</f>
        <v>Reinigung</v>
      </c>
    </row>
    <row r="39" ht="18.5" customHeight="1">
      <c r="A39" t="s" s="21">
        <v>142</v>
      </c>
      <c r="B39" t="s" s="21">
        <v>73</v>
      </c>
      <c r="C39" t="s" s="21">
        <v>104</v>
      </c>
      <c r="D39" s="27">
        <v>2025</v>
      </c>
      <c r="E39" t="s" s="21">
        <v>97</v>
      </c>
      <c r="F39" s="27">
        <v>142.3</v>
      </c>
      <c r="G39" s="27">
        <v>27</v>
      </c>
      <c r="H39" t="str" s="28" cm="1">
        <f t="array" ref="H39">VLOOKUP(B39,'Stammdaten'!$A$2:$C$31,3,FALSE)</f>
        <v>Wartung</v>
      </c>
    </row>
    <row r="40" ht="18.5" customHeight="1">
      <c r="A40" t="s" s="21">
        <v>143</v>
      </c>
      <c r="B40" t="s" s="21">
        <v>36</v>
      </c>
      <c r="C40" t="s" s="21">
        <v>25</v>
      </c>
      <c r="D40" s="27">
        <v>2023</v>
      </c>
      <c r="E40" t="s" s="21">
        <v>97</v>
      </c>
      <c r="F40" s="27">
        <v>67</v>
      </c>
      <c r="G40" s="27">
        <v>27</v>
      </c>
      <c r="H40" t="str" s="28" cm="1">
        <f t="array" ref="H40">VLOOKUP(B40,'Stammdaten'!$A$2:$C$31,3,FALSE)</f>
        <v>Versand</v>
      </c>
    </row>
    <row r="41" ht="18.5" customHeight="1">
      <c r="A41" t="s" s="21">
        <v>144</v>
      </c>
      <c r="B41" t="s" s="21">
        <v>54</v>
      </c>
      <c r="C41" t="s" s="21">
        <v>25</v>
      </c>
      <c r="D41" s="27">
        <v>2025</v>
      </c>
      <c r="E41" t="s" s="21">
        <v>97</v>
      </c>
      <c r="F41" s="27">
        <v>118.1</v>
      </c>
      <c r="G41" s="27">
        <v>4</v>
      </c>
      <c r="H41" t="str" s="28" cm="1">
        <f t="array" ref="H41">VLOOKUP(B41,'Stammdaten'!$A$2:$C$31,3,FALSE)</f>
        <v>Reinigung</v>
      </c>
    </row>
    <row r="42" ht="18.5" customHeight="1">
      <c r="A42" t="s" s="21">
        <v>145</v>
      </c>
      <c r="B42" t="s" s="21">
        <v>49</v>
      </c>
      <c r="C42" t="s" s="21">
        <v>77</v>
      </c>
      <c r="D42" s="27">
        <v>2023</v>
      </c>
      <c r="E42" t="s" s="21">
        <v>101</v>
      </c>
      <c r="F42" s="27">
        <v>38.3</v>
      </c>
      <c r="G42" s="27">
        <v>29</v>
      </c>
      <c r="H42" t="str" s="28" cm="1">
        <f t="array" ref="H42">VLOOKUP(B42,'Stammdaten'!$A$2:$C$31,3,FALSE)</f>
        <v>Reinigung</v>
      </c>
    </row>
    <row r="43" ht="18.5" customHeight="1">
      <c r="A43" t="s" s="21">
        <v>146</v>
      </c>
      <c r="B43" t="s" s="21">
        <v>32</v>
      </c>
      <c r="C43" t="s" s="21">
        <v>64</v>
      </c>
      <c r="D43" s="27">
        <v>2023</v>
      </c>
      <c r="E43" t="s" s="21">
        <v>101</v>
      </c>
      <c r="F43" s="27">
        <v>48.7</v>
      </c>
      <c r="G43" s="27">
        <v>5</v>
      </c>
      <c r="H43" t="str" s="28" cm="1">
        <f t="array" ref="H43">VLOOKUP(B43,'Stammdaten'!$A$2:$C$31,3,FALSE)</f>
        <v>Lager</v>
      </c>
    </row>
    <row r="44" ht="18.5" customHeight="1">
      <c r="A44" t="s" s="21">
        <v>147</v>
      </c>
      <c r="B44" t="s" s="21">
        <v>54</v>
      </c>
      <c r="C44" t="s" s="21">
        <v>104</v>
      </c>
      <c r="D44" s="27">
        <v>2023</v>
      </c>
      <c r="E44" t="s" s="21">
        <v>101</v>
      </c>
      <c r="F44" s="27">
        <v>179.9</v>
      </c>
      <c r="G44" s="27">
        <v>1</v>
      </c>
      <c r="H44" t="str" s="28" cm="1">
        <f t="array" ref="H44">VLOOKUP(B44,'Stammdaten'!$A$2:$C$31,3,FALSE)</f>
        <v>Reinigung</v>
      </c>
    </row>
    <row r="45" ht="18.5" customHeight="1">
      <c r="A45" t="s" s="21">
        <v>148</v>
      </c>
      <c r="B45" t="s" s="21">
        <v>28</v>
      </c>
      <c r="C45" t="s" s="21">
        <v>38</v>
      </c>
      <c r="D45" s="27">
        <v>2023</v>
      </c>
      <c r="E45" t="s" s="21">
        <v>97</v>
      </c>
      <c r="F45" s="27">
        <v>89.2</v>
      </c>
      <c r="G45" s="27">
        <v>26</v>
      </c>
      <c r="H45" t="str" s="28" cm="1">
        <f t="array" ref="H45">VLOOKUP(B45,'Stammdaten'!$A$2:$C$31,3,FALSE)</f>
        <v>Lager</v>
      </c>
    </row>
    <row r="46" ht="18.5" customHeight="1">
      <c r="A46" t="s" s="21">
        <v>149</v>
      </c>
      <c r="B46" t="s" s="21">
        <v>84</v>
      </c>
      <c r="C46" t="s" s="21">
        <v>25</v>
      </c>
      <c r="D46" s="27">
        <v>2023</v>
      </c>
      <c r="E46" t="s" s="21">
        <v>97</v>
      </c>
      <c r="F46" s="27">
        <v>177.4</v>
      </c>
      <c r="G46" s="27">
        <v>17</v>
      </c>
      <c r="H46" t="str" s="28" cm="1">
        <f t="array" ref="H46">VLOOKUP(B46,'Stammdaten'!$A$2:$C$31,3,FALSE)</f>
        <v>Produktion</v>
      </c>
    </row>
    <row r="47" ht="18.5" customHeight="1">
      <c r="A47" t="s" s="21">
        <v>150</v>
      </c>
      <c r="B47" t="s" s="21">
        <v>86</v>
      </c>
      <c r="C47" t="s" s="21">
        <v>64</v>
      </c>
      <c r="D47" s="27">
        <v>2024</v>
      </c>
      <c r="E47" t="s" s="21">
        <v>97</v>
      </c>
      <c r="F47" s="27">
        <v>172.5</v>
      </c>
      <c r="G47" s="27">
        <v>36</v>
      </c>
      <c r="H47" t="str" s="28" cm="1">
        <f t="array" ref="H47">VLOOKUP(B47,'Stammdaten'!$A$2:$C$31,3,FALSE)</f>
        <v>Produktion</v>
      </c>
    </row>
    <row r="48" ht="18.5" customHeight="1">
      <c r="A48" t="s" s="21">
        <v>151</v>
      </c>
      <c r="B48" t="s" s="21">
        <v>69</v>
      </c>
      <c r="C48" t="s" s="21">
        <v>64</v>
      </c>
      <c r="D48" s="27">
        <v>2023</v>
      </c>
      <c r="E48" t="s" s="21">
        <v>101</v>
      </c>
      <c r="F48" s="27">
        <v>43.1</v>
      </c>
      <c r="G48" s="27">
        <v>4</v>
      </c>
      <c r="H48" t="str" s="28" cm="1">
        <f t="array" ref="H48">VLOOKUP(B48,'Stammdaten'!$A$2:$C$31,3,FALSE)</f>
        <v>Wartung</v>
      </c>
    </row>
    <row r="49" ht="18.5" customHeight="1">
      <c r="A49" t="s" s="21">
        <v>152</v>
      </c>
      <c r="B49" t="s" s="21">
        <v>62</v>
      </c>
      <c r="C49" t="s" s="21">
        <v>104</v>
      </c>
      <c r="D49" s="27">
        <v>2023</v>
      </c>
      <c r="E49" t="s" s="21">
        <v>97</v>
      </c>
      <c r="F49" s="27">
        <v>15</v>
      </c>
      <c r="G49" s="27">
        <v>38</v>
      </c>
      <c r="H49" t="str" s="28" cm="1">
        <f t="array" ref="H49">VLOOKUP(B49,'Stammdaten'!$A$2:$C$31,3,FALSE)</f>
        <v>Wartung</v>
      </c>
    </row>
    <row r="50" ht="18.5" customHeight="1">
      <c r="A50" t="s" s="21">
        <v>153</v>
      </c>
      <c r="B50" t="s" s="21">
        <v>56</v>
      </c>
      <c r="C50" t="s" s="21">
        <v>104</v>
      </c>
      <c r="D50" s="27">
        <v>2025</v>
      </c>
      <c r="E50" t="s" s="21">
        <v>101</v>
      </c>
      <c r="F50" s="27">
        <v>173.1</v>
      </c>
      <c r="G50" s="27">
        <v>6</v>
      </c>
      <c r="H50" t="str" s="28" cm="1">
        <f t="array" ref="H50">VLOOKUP(B50,'Stammdaten'!$A$2:$C$31,3,FALSE)</f>
        <v>Reinigung</v>
      </c>
    </row>
    <row r="51" ht="18.5" customHeight="1">
      <c r="A51" t="s" s="21">
        <v>154</v>
      </c>
      <c r="B51" t="s" s="21">
        <v>82</v>
      </c>
      <c r="C51" t="s" s="21">
        <v>38</v>
      </c>
      <c r="D51" s="27">
        <v>2023</v>
      </c>
      <c r="E51" t="s" s="21">
        <v>97</v>
      </c>
      <c r="F51" s="27">
        <v>123.2</v>
      </c>
      <c r="G51" s="27">
        <v>16</v>
      </c>
      <c r="H51" t="str" s="28" cm="1">
        <f t="array" ref="H51">VLOOKUP(B51,'Stammdaten'!$A$2:$C$31,3,FALSE)</f>
        <v>Produktion</v>
      </c>
    </row>
    <row r="52" ht="18.5" customHeight="1">
      <c r="A52" t="s" s="21">
        <v>155</v>
      </c>
      <c r="B52" t="s" s="21">
        <v>49</v>
      </c>
      <c r="C52" t="s" s="21">
        <v>25</v>
      </c>
      <c r="D52" s="27">
        <v>2025</v>
      </c>
      <c r="E52" t="s" s="21">
        <v>101</v>
      </c>
      <c r="F52" s="27">
        <v>109</v>
      </c>
      <c r="G52" s="27">
        <v>40</v>
      </c>
      <c r="H52" t="str" s="28" cm="1">
        <f t="array" ref="H52">VLOOKUP(B52,'Stammdaten'!$A$2:$C$31,3,FALSE)</f>
        <v>Reinigung</v>
      </c>
    </row>
    <row r="53" ht="18.5" customHeight="1">
      <c r="A53" t="s" s="21">
        <v>156</v>
      </c>
      <c r="B53" t="s" s="21">
        <v>28</v>
      </c>
      <c r="C53" t="s" s="21">
        <v>64</v>
      </c>
      <c r="D53" s="27">
        <v>2025</v>
      </c>
      <c r="E53" t="s" s="21">
        <v>97</v>
      </c>
      <c r="F53" s="27">
        <v>96.5</v>
      </c>
      <c r="G53" s="27">
        <v>17</v>
      </c>
      <c r="H53" t="str" s="28" cm="1">
        <f t="array" ref="H53">VLOOKUP(B53,'Stammdaten'!$A$2:$C$31,3,FALSE)</f>
        <v>Lager</v>
      </c>
    </row>
    <row r="54" ht="18.5" customHeight="1">
      <c r="A54" t="s" s="21">
        <v>157</v>
      </c>
      <c r="B54" t="s" s="21">
        <v>36</v>
      </c>
      <c r="C54" t="s" s="21">
        <v>77</v>
      </c>
      <c r="D54" s="27">
        <v>2023</v>
      </c>
      <c r="E54" t="s" s="21">
        <v>101</v>
      </c>
      <c r="F54" s="27">
        <v>27.9</v>
      </c>
      <c r="G54" s="27">
        <v>42</v>
      </c>
      <c r="H54" t="str" s="28" cm="1">
        <f t="array" ref="H54">VLOOKUP(B54,'Stammdaten'!$A$2:$C$31,3,FALSE)</f>
        <v>Versand</v>
      </c>
    </row>
    <row r="55" ht="18.5" customHeight="1">
      <c r="A55" t="s" s="21">
        <v>158</v>
      </c>
      <c r="B55" t="s" s="21">
        <v>43</v>
      </c>
      <c r="C55" t="s" s="21">
        <v>64</v>
      </c>
      <c r="D55" s="27">
        <v>2024</v>
      </c>
      <c r="E55" t="s" s="21">
        <v>131</v>
      </c>
      <c r="F55" s="27">
        <v>168.8</v>
      </c>
      <c r="G55" s="27">
        <v>1</v>
      </c>
      <c r="H55" t="str" s="28" cm="1">
        <f t="array" ref="H55">VLOOKUP(B55,'Stammdaten'!$A$2:$C$31,3,FALSE)</f>
        <v>Versand</v>
      </c>
    </row>
    <row r="56" ht="18.5" customHeight="1">
      <c r="A56" t="s" s="21">
        <v>159</v>
      </c>
      <c r="B56" t="s" s="21">
        <v>54</v>
      </c>
      <c r="C56" t="s" s="21">
        <v>104</v>
      </c>
      <c r="D56" s="27">
        <v>2025</v>
      </c>
      <c r="E56" t="s" s="21">
        <v>131</v>
      </c>
      <c r="F56" s="27">
        <v>17.8</v>
      </c>
      <c r="G56" s="27">
        <v>14</v>
      </c>
      <c r="H56" t="str" s="28" cm="1">
        <f t="array" ref="H56">VLOOKUP(B56,'Stammdaten'!$A$2:$C$31,3,FALSE)</f>
        <v>Reinigung</v>
      </c>
    </row>
    <row r="57" ht="18.5" customHeight="1">
      <c r="A57" t="s" s="21">
        <v>160</v>
      </c>
      <c r="B57" t="s" s="21">
        <v>58</v>
      </c>
      <c r="C57" t="s" s="21">
        <v>77</v>
      </c>
      <c r="D57" s="27">
        <v>2023</v>
      </c>
      <c r="E57" t="s" s="21">
        <v>131</v>
      </c>
      <c r="F57" s="27">
        <v>159.2</v>
      </c>
      <c r="G57" s="27">
        <v>16</v>
      </c>
      <c r="H57" t="str" s="28" cm="1">
        <f t="array" ref="H57">VLOOKUP(B57,'Stammdaten'!$A$2:$C$31,3,FALSE)</f>
        <v>Reinigung</v>
      </c>
    </row>
    <row r="58" ht="18.5" customHeight="1">
      <c r="A58" t="s" s="21">
        <v>161</v>
      </c>
      <c r="B58" t="s" s="21">
        <v>47</v>
      </c>
      <c r="C58" t="s" s="21">
        <v>77</v>
      </c>
      <c r="D58" s="27">
        <v>2023</v>
      </c>
      <c r="E58" t="s" s="21">
        <v>97</v>
      </c>
      <c r="F58" s="27">
        <v>100.1</v>
      </c>
      <c r="G58" s="27">
        <v>20</v>
      </c>
      <c r="H58" t="str" s="28" cm="1">
        <f t="array" ref="H58">VLOOKUP(B58,'Stammdaten'!$A$2:$C$31,3,FALSE)</f>
        <v>Versand</v>
      </c>
    </row>
    <row r="59" ht="18.5" customHeight="1">
      <c r="A59" t="s" s="21">
        <v>162</v>
      </c>
      <c r="B59" t="s" s="21">
        <v>65</v>
      </c>
      <c r="C59" t="s" s="21">
        <v>104</v>
      </c>
      <c r="D59" s="27">
        <v>2023</v>
      </c>
      <c r="E59" t="s" s="21">
        <v>97</v>
      </c>
      <c r="F59" s="27">
        <v>102.1</v>
      </c>
      <c r="G59" s="27">
        <v>43</v>
      </c>
      <c r="H59" t="str" s="28" cm="1">
        <f t="array" ref="H59">VLOOKUP(B59,'Stammdaten'!$A$2:$C$31,3,FALSE)</f>
        <v>Wartung</v>
      </c>
    </row>
    <row r="60" ht="18.5" customHeight="1">
      <c r="A60" t="s" s="21">
        <v>163</v>
      </c>
      <c r="B60" t="s" s="21">
        <v>30</v>
      </c>
      <c r="C60" t="s" s="21">
        <v>38</v>
      </c>
      <c r="D60" s="27">
        <v>2024</v>
      </c>
      <c r="E60" t="s" s="21">
        <v>101</v>
      </c>
      <c r="F60" s="27">
        <v>23.7</v>
      </c>
      <c r="G60" s="27">
        <v>36</v>
      </c>
      <c r="H60" t="str" s="28" cm="1">
        <f t="array" ref="H60">VLOOKUP(B60,'Stammdaten'!$A$2:$C$31,3,FALSE)</f>
        <v>Lager</v>
      </c>
    </row>
    <row r="61" ht="18.5" customHeight="1">
      <c r="A61" t="s" s="21">
        <v>164</v>
      </c>
      <c r="B61" t="s" s="21">
        <v>32</v>
      </c>
      <c r="C61" t="s" s="21">
        <v>77</v>
      </c>
      <c r="D61" s="27">
        <v>2024</v>
      </c>
      <c r="E61" t="s" s="21">
        <v>97</v>
      </c>
      <c r="F61" s="27">
        <v>130.6</v>
      </c>
      <c r="G61" s="27">
        <v>14</v>
      </c>
      <c r="H61" t="str" s="28" cm="1">
        <f t="array" ref="H61">VLOOKUP(B61,'Stammdaten'!$A$2:$C$31,3,FALSE)</f>
        <v>Lager</v>
      </c>
    </row>
    <row r="62" ht="18.5" customHeight="1">
      <c r="A62" t="s" s="21">
        <v>165</v>
      </c>
      <c r="B62" t="s" s="21">
        <v>69</v>
      </c>
      <c r="C62" t="s" s="21">
        <v>77</v>
      </c>
      <c r="D62" s="27">
        <v>2025</v>
      </c>
      <c r="E62" t="s" s="21">
        <v>97</v>
      </c>
      <c r="F62" s="27">
        <v>163.4</v>
      </c>
      <c r="G62" s="27">
        <v>4</v>
      </c>
      <c r="H62" t="str" s="28" cm="1">
        <f t="array" ref="H62">VLOOKUP(B62,'Stammdaten'!$A$2:$C$31,3,FALSE)</f>
        <v>Wartung</v>
      </c>
    </row>
    <row r="63" ht="18.5" customHeight="1">
      <c r="A63" t="s" s="21">
        <v>166</v>
      </c>
      <c r="B63" t="s" s="21">
        <v>28</v>
      </c>
      <c r="C63" t="s" s="21">
        <v>64</v>
      </c>
      <c r="D63" s="27">
        <v>2024</v>
      </c>
      <c r="E63" t="s" s="21">
        <v>101</v>
      </c>
      <c r="F63" s="27">
        <v>63.4</v>
      </c>
      <c r="G63" s="27">
        <v>9</v>
      </c>
      <c r="H63" t="str" s="28" cm="1">
        <f t="array" ref="H63">VLOOKUP(B63,'Stammdaten'!$A$2:$C$31,3,FALSE)</f>
        <v>Lager</v>
      </c>
    </row>
    <row r="64" ht="18.5" customHeight="1">
      <c r="A64" t="s" s="21">
        <v>167</v>
      </c>
      <c r="B64" t="s" s="21">
        <v>67</v>
      </c>
      <c r="C64" t="s" s="21">
        <v>77</v>
      </c>
      <c r="D64" s="27">
        <v>2023</v>
      </c>
      <c r="E64" t="s" s="21">
        <v>97</v>
      </c>
      <c r="F64" s="27">
        <v>101.5</v>
      </c>
      <c r="G64" s="27">
        <v>28</v>
      </c>
      <c r="H64" t="str" s="28" cm="1">
        <f t="array" ref="H64">VLOOKUP(B64,'Stammdaten'!$A$2:$C$31,3,FALSE)</f>
        <v>Wartung</v>
      </c>
    </row>
    <row r="65" ht="18.5" customHeight="1">
      <c r="A65" t="s" s="21">
        <v>168</v>
      </c>
      <c r="B65" t="s" s="21">
        <v>60</v>
      </c>
      <c r="C65" t="s" s="21">
        <v>25</v>
      </c>
      <c r="D65" s="27">
        <v>2023</v>
      </c>
      <c r="E65" t="s" s="21">
        <v>101</v>
      </c>
      <c r="F65" s="27">
        <v>159.5</v>
      </c>
      <c r="G65" s="27">
        <v>10</v>
      </c>
      <c r="H65" t="str" s="28" cm="1">
        <f t="array" ref="H65">VLOOKUP(B65,'Stammdaten'!$A$2:$C$31,3,FALSE)</f>
        <v>Reinigung</v>
      </c>
    </row>
    <row r="66" ht="18.5" customHeight="1">
      <c r="A66" t="s" s="21">
        <v>169</v>
      </c>
      <c r="B66" t="s" s="21">
        <v>60</v>
      </c>
      <c r="C66" t="s" s="21">
        <v>25</v>
      </c>
      <c r="D66" s="27">
        <v>2024</v>
      </c>
      <c r="E66" t="s" s="21">
        <v>97</v>
      </c>
      <c r="F66" s="27">
        <v>30.9</v>
      </c>
      <c r="G66" s="27">
        <v>9</v>
      </c>
      <c r="H66" t="str" s="28" cm="1">
        <f t="array" ref="H66">VLOOKUP(B66,'Stammdaten'!$A$2:$C$31,3,FALSE)</f>
        <v>Reinigung</v>
      </c>
    </row>
    <row r="67" ht="18.5" customHeight="1">
      <c r="A67" t="s" s="21">
        <v>170</v>
      </c>
      <c r="B67" t="s" s="21">
        <v>26</v>
      </c>
      <c r="C67" t="s" s="21">
        <v>77</v>
      </c>
      <c r="D67" s="27">
        <v>2024</v>
      </c>
      <c r="E67" t="s" s="21">
        <v>97</v>
      </c>
      <c r="F67" s="27">
        <v>144.3</v>
      </c>
      <c r="G67" s="27">
        <v>3</v>
      </c>
      <c r="H67" t="str" s="28" cm="1">
        <f t="array" ref="H67">VLOOKUP(B67,'Stammdaten'!$A$2:$C$31,3,FALSE)</f>
        <v>Lager</v>
      </c>
    </row>
    <row r="68" ht="18.5" customHeight="1">
      <c r="A68" t="s" s="21">
        <v>171</v>
      </c>
      <c r="B68" t="s" s="21">
        <v>84</v>
      </c>
      <c r="C68" t="s" s="21">
        <v>77</v>
      </c>
      <c r="D68" s="27">
        <v>2023</v>
      </c>
      <c r="E68" t="s" s="21">
        <v>97</v>
      </c>
      <c r="F68" s="27">
        <v>121.7</v>
      </c>
      <c r="G68" s="27">
        <v>23</v>
      </c>
      <c r="H68" t="str" s="28" cm="1">
        <f t="array" ref="H68">VLOOKUP(B68,'Stammdaten'!$A$2:$C$31,3,FALSE)</f>
        <v>Produktion</v>
      </c>
    </row>
    <row r="69" ht="18.5" customHeight="1">
      <c r="A69" t="s" s="21">
        <v>172</v>
      </c>
      <c r="B69" t="s" s="21">
        <v>75</v>
      </c>
      <c r="C69" t="s" s="21">
        <v>104</v>
      </c>
      <c r="D69" s="27">
        <v>2024</v>
      </c>
      <c r="E69" t="s" s="21">
        <v>131</v>
      </c>
      <c r="F69" s="27">
        <v>136.2</v>
      </c>
      <c r="G69" s="27">
        <v>16</v>
      </c>
      <c r="H69" t="str" s="28" cm="1">
        <f t="array" ref="H69">VLOOKUP(B69,'Stammdaten'!$A$2:$C$31,3,FALSE)</f>
        <v>Produktion</v>
      </c>
    </row>
    <row r="70" ht="18.5" customHeight="1">
      <c r="A70" t="s" s="21">
        <v>173</v>
      </c>
      <c r="B70" t="s" s="21">
        <v>82</v>
      </c>
      <c r="C70" t="s" s="21">
        <v>38</v>
      </c>
      <c r="D70" s="27">
        <v>2023</v>
      </c>
      <c r="E70" t="s" s="21">
        <v>97</v>
      </c>
      <c r="F70" s="27">
        <v>9.300000000000001</v>
      </c>
      <c r="G70" s="27">
        <v>48</v>
      </c>
      <c r="H70" t="str" s="28" cm="1">
        <f t="array" ref="H70">VLOOKUP(B70,'Stammdaten'!$A$2:$C$31,3,FALSE)</f>
        <v>Produktion</v>
      </c>
    </row>
    <row r="71" ht="18.5" customHeight="1">
      <c r="A71" t="s" s="21">
        <v>174</v>
      </c>
      <c r="B71" t="s" s="21">
        <v>86</v>
      </c>
      <c r="C71" t="s" s="21">
        <v>77</v>
      </c>
      <c r="D71" s="27">
        <v>2024</v>
      </c>
      <c r="E71" t="s" s="21">
        <v>97</v>
      </c>
      <c r="F71" s="27">
        <v>156.2</v>
      </c>
      <c r="G71" s="27">
        <v>16</v>
      </c>
      <c r="H71" t="str" s="28" cm="1">
        <f t="array" ref="H71">VLOOKUP(B71,'Stammdaten'!$A$2:$C$31,3,FALSE)</f>
        <v>Produktion</v>
      </c>
    </row>
    <row r="72" ht="18.5" customHeight="1">
      <c r="A72" t="s" s="21">
        <v>175</v>
      </c>
      <c r="B72" t="s" s="21">
        <v>41</v>
      </c>
      <c r="C72" t="s" s="21">
        <v>38</v>
      </c>
      <c r="D72" s="27">
        <v>2025</v>
      </c>
      <c r="E72" t="s" s="21">
        <v>101</v>
      </c>
      <c r="F72" s="27">
        <v>157.6</v>
      </c>
      <c r="G72" s="27">
        <v>31</v>
      </c>
      <c r="H72" t="str" s="28" cm="1">
        <f t="array" ref="H72">VLOOKUP(B72,'Stammdaten'!$A$2:$C$31,3,FALSE)</f>
        <v>Versand</v>
      </c>
    </row>
    <row r="73" ht="18.5" customHeight="1">
      <c r="A73" t="s" s="21">
        <v>176</v>
      </c>
      <c r="B73" t="s" s="21">
        <v>39</v>
      </c>
      <c r="C73" t="s" s="21">
        <v>38</v>
      </c>
      <c r="D73" s="27">
        <v>2024</v>
      </c>
      <c r="E73" t="s" s="21">
        <v>101</v>
      </c>
      <c r="F73" s="27">
        <v>148.6</v>
      </c>
      <c r="G73" s="27">
        <v>15</v>
      </c>
      <c r="H73" t="str" s="28" cm="1">
        <f t="array" ref="H73">VLOOKUP(B73,'Stammdaten'!$A$2:$C$31,3,FALSE)</f>
        <v>Versand</v>
      </c>
    </row>
    <row r="74" ht="18.5" customHeight="1">
      <c r="A74" t="s" s="21">
        <v>177</v>
      </c>
      <c r="B74" t="s" s="21">
        <v>39</v>
      </c>
      <c r="C74" t="s" s="21">
        <v>25</v>
      </c>
      <c r="D74" s="27">
        <v>2025</v>
      </c>
      <c r="E74" t="s" s="21">
        <v>101</v>
      </c>
      <c r="F74" s="27">
        <v>62.4</v>
      </c>
      <c r="G74" s="27">
        <v>5</v>
      </c>
      <c r="H74" t="str" s="28" cm="1">
        <f t="array" ref="H74">VLOOKUP(B74,'Stammdaten'!$A$2:$C$31,3,FALSE)</f>
        <v>Versand</v>
      </c>
    </row>
    <row r="75" ht="18.5" customHeight="1">
      <c r="A75" t="s" s="21">
        <v>178</v>
      </c>
      <c r="B75" t="s" s="21">
        <v>75</v>
      </c>
      <c r="C75" t="s" s="21">
        <v>77</v>
      </c>
      <c r="D75" s="27">
        <v>2024</v>
      </c>
      <c r="E75" t="s" s="21">
        <v>97</v>
      </c>
      <c r="F75" s="27">
        <v>74.90000000000001</v>
      </c>
      <c r="G75" s="27">
        <v>35</v>
      </c>
      <c r="H75" t="str" s="28" cm="1">
        <f t="array" ref="H75">VLOOKUP(B75,'Stammdaten'!$A$2:$C$31,3,FALSE)</f>
        <v>Produktion</v>
      </c>
    </row>
    <row r="76" ht="18.5" customHeight="1">
      <c r="A76" t="s" s="21">
        <v>179</v>
      </c>
      <c r="B76" t="s" s="21">
        <v>45</v>
      </c>
      <c r="C76" t="s" s="21">
        <v>25</v>
      </c>
      <c r="D76" s="27">
        <v>2023</v>
      </c>
      <c r="E76" t="s" s="21">
        <v>97</v>
      </c>
      <c r="F76" s="27">
        <v>50.7</v>
      </c>
      <c r="G76" s="27">
        <v>38</v>
      </c>
      <c r="H76" t="str" s="28" cm="1">
        <f t="array" ref="H76">VLOOKUP(B76,'Stammdaten'!$A$2:$C$31,3,FALSE)</f>
        <v>Versand</v>
      </c>
    </row>
    <row r="77" ht="18.5" customHeight="1">
      <c r="A77" t="s" s="21">
        <v>180</v>
      </c>
      <c r="B77" t="s" s="21">
        <v>41</v>
      </c>
      <c r="C77" t="s" s="21">
        <v>25</v>
      </c>
      <c r="D77" s="27">
        <v>2023</v>
      </c>
      <c r="E77" t="s" s="21">
        <v>97</v>
      </c>
      <c r="F77" s="27">
        <v>65.5</v>
      </c>
      <c r="G77" s="27">
        <v>21</v>
      </c>
      <c r="H77" t="str" s="28" cm="1">
        <f t="array" ref="H77">VLOOKUP(B77,'Stammdaten'!$A$2:$C$31,3,FALSE)</f>
        <v>Versand</v>
      </c>
    </row>
    <row r="78" ht="18.5" customHeight="1">
      <c r="A78" t="s" s="21">
        <v>181</v>
      </c>
      <c r="B78" t="s" s="21">
        <v>52</v>
      </c>
      <c r="C78" t="s" s="21">
        <v>104</v>
      </c>
      <c r="D78" s="27">
        <v>2025</v>
      </c>
      <c r="E78" t="s" s="21">
        <v>101</v>
      </c>
      <c r="F78" s="27">
        <v>162.4</v>
      </c>
      <c r="G78" s="27">
        <v>13</v>
      </c>
      <c r="H78" t="str" s="28" cm="1">
        <f t="array" ref="H78">VLOOKUP(B78,'Stammdaten'!$A$2:$C$31,3,FALSE)</f>
        <v>Reinigung</v>
      </c>
    </row>
    <row r="79" ht="18.5" customHeight="1">
      <c r="A79" t="s" s="21">
        <v>182</v>
      </c>
      <c r="B79" t="s" s="21">
        <v>41</v>
      </c>
      <c r="C79" t="s" s="21">
        <v>25</v>
      </c>
      <c r="D79" s="27">
        <v>2025</v>
      </c>
      <c r="E79" t="s" s="21">
        <v>97</v>
      </c>
      <c r="F79" s="27">
        <v>96</v>
      </c>
      <c r="G79" s="27">
        <v>35</v>
      </c>
      <c r="H79" t="str" s="28" cm="1">
        <f t="array" ref="H79">VLOOKUP(B79,'Stammdaten'!$A$2:$C$31,3,FALSE)</f>
        <v>Versand</v>
      </c>
    </row>
    <row r="80" ht="18.5" customHeight="1">
      <c r="A80" t="s" s="21">
        <v>183</v>
      </c>
      <c r="B80" t="s" s="21">
        <v>69</v>
      </c>
      <c r="C80" t="s" s="21">
        <v>38</v>
      </c>
      <c r="D80" s="27">
        <v>2024</v>
      </c>
      <c r="E80" t="s" s="21">
        <v>97</v>
      </c>
      <c r="F80" s="27">
        <v>171.1</v>
      </c>
      <c r="G80" s="27">
        <v>22</v>
      </c>
      <c r="H80" t="str" s="28" cm="1">
        <f t="array" ref="H80">VLOOKUP(B80,'Stammdaten'!$A$2:$C$31,3,FALSE)</f>
        <v>Wartung</v>
      </c>
    </row>
    <row r="81" ht="18.5" customHeight="1">
      <c r="A81" t="s" s="21">
        <v>184</v>
      </c>
      <c r="B81" t="s" s="21">
        <v>65</v>
      </c>
      <c r="C81" t="s" s="21">
        <v>77</v>
      </c>
      <c r="D81" s="27">
        <v>2025</v>
      </c>
      <c r="E81" t="s" s="21">
        <v>97</v>
      </c>
      <c r="F81" s="27">
        <v>131</v>
      </c>
      <c r="G81" s="27">
        <v>20</v>
      </c>
      <c r="H81" t="str" s="28" cm="1">
        <f t="array" ref="H81">VLOOKUP(B81,'Stammdaten'!$A$2:$C$31,3,FALSE)</f>
        <v>Wartung</v>
      </c>
    </row>
    <row r="82" ht="18.5" customHeight="1">
      <c r="A82" t="s" s="21">
        <v>185</v>
      </c>
      <c r="B82" t="s" s="21">
        <v>58</v>
      </c>
      <c r="C82" t="s" s="21">
        <v>77</v>
      </c>
      <c r="D82" s="27">
        <v>2025</v>
      </c>
      <c r="E82" t="s" s="21">
        <v>97</v>
      </c>
      <c r="F82" s="27">
        <v>75.40000000000001</v>
      </c>
      <c r="G82" s="27">
        <v>19</v>
      </c>
      <c r="H82" t="str" s="28" cm="1">
        <f t="array" ref="H82">VLOOKUP(B82,'Stammdaten'!$A$2:$C$31,3,FALSE)</f>
        <v>Reinigung</v>
      </c>
    </row>
    <row r="83" ht="18.5" customHeight="1">
      <c r="A83" t="s" s="21">
        <v>186</v>
      </c>
      <c r="B83" t="s" s="21">
        <v>60</v>
      </c>
      <c r="C83" t="s" s="21">
        <v>38</v>
      </c>
      <c r="D83" s="27">
        <v>2023</v>
      </c>
      <c r="E83" t="s" s="21">
        <v>97</v>
      </c>
      <c r="F83" s="27">
        <v>169.6</v>
      </c>
      <c r="G83" s="27">
        <v>44</v>
      </c>
      <c r="H83" t="str" s="28" cm="1">
        <f t="array" ref="H83">VLOOKUP(B83,'Stammdaten'!$A$2:$C$31,3,FALSE)</f>
        <v>Reinigung</v>
      </c>
    </row>
    <row r="84" ht="18.5" customHeight="1">
      <c r="A84" t="s" s="21">
        <v>187</v>
      </c>
      <c r="B84" t="s" s="21">
        <v>73</v>
      </c>
      <c r="C84" t="s" s="21">
        <v>38</v>
      </c>
      <c r="D84" s="27">
        <v>2025</v>
      </c>
      <c r="E84" t="s" s="21">
        <v>97</v>
      </c>
      <c r="F84" s="27">
        <v>76.09999999999999</v>
      </c>
      <c r="G84" s="27">
        <v>1</v>
      </c>
      <c r="H84" t="str" s="28" cm="1">
        <f t="array" ref="H84">VLOOKUP(B84,'Stammdaten'!$A$2:$C$31,3,FALSE)</f>
        <v>Wartung</v>
      </c>
    </row>
    <row r="85" ht="18.5" customHeight="1">
      <c r="A85" t="s" s="21">
        <v>188</v>
      </c>
      <c r="B85" t="s" s="21">
        <v>43</v>
      </c>
      <c r="C85" t="s" s="21">
        <v>77</v>
      </c>
      <c r="D85" s="27">
        <v>2023</v>
      </c>
      <c r="E85" t="s" s="21">
        <v>97</v>
      </c>
      <c r="F85" s="27">
        <v>106.5</v>
      </c>
      <c r="G85" s="27">
        <v>42</v>
      </c>
      <c r="H85" t="str" s="28" cm="1">
        <f t="array" ref="H85">VLOOKUP(B85,'Stammdaten'!$A$2:$C$31,3,FALSE)</f>
        <v>Versand</v>
      </c>
    </row>
    <row r="86" ht="18.5" customHeight="1">
      <c r="A86" t="s" s="21">
        <v>189</v>
      </c>
      <c r="B86" t="s" s="21">
        <v>45</v>
      </c>
      <c r="C86" t="s" s="21">
        <v>64</v>
      </c>
      <c r="D86" s="27">
        <v>2024</v>
      </c>
      <c r="E86" t="s" s="21">
        <v>97</v>
      </c>
      <c r="F86" s="27">
        <v>42.4</v>
      </c>
      <c r="G86" s="27">
        <v>31</v>
      </c>
      <c r="H86" t="str" s="28" cm="1">
        <f t="array" ref="H86">VLOOKUP(B86,'Stammdaten'!$A$2:$C$31,3,FALSE)</f>
        <v>Versand</v>
      </c>
    </row>
    <row r="87" ht="18.5" customHeight="1">
      <c r="A87" t="s" s="21">
        <v>190</v>
      </c>
      <c r="B87" t="s" s="21">
        <v>78</v>
      </c>
      <c r="C87" t="s" s="21">
        <v>38</v>
      </c>
      <c r="D87" s="27">
        <v>2025</v>
      </c>
      <c r="E87" t="s" s="21">
        <v>101</v>
      </c>
      <c r="F87" s="27">
        <v>95.2</v>
      </c>
      <c r="G87" s="27">
        <v>41</v>
      </c>
      <c r="H87" t="str" s="28" cm="1">
        <f t="array" ref="H87">VLOOKUP(B87,'Stammdaten'!$A$2:$C$31,3,FALSE)</f>
        <v>Produktion</v>
      </c>
    </row>
    <row r="88" ht="18.5" customHeight="1">
      <c r="A88" t="s" s="21">
        <v>191</v>
      </c>
      <c r="B88" t="s" s="21">
        <v>65</v>
      </c>
      <c r="C88" t="s" s="21">
        <v>77</v>
      </c>
      <c r="D88" s="27">
        <v>2023</v>
      </c>
      <c r="E88" t="s" s="21">
        <v>97</v>
      </c>
      <c r="F88" s="27">
        <v>136.4</v>
      </c>
      <c r="G88" s="27">
        <v>44</v>
      </c>
      <c r="H88" t="str" s="28" cm="1">
        <f t="array" ref="H88">VLOOKUP(B88,'Stammdaten'!$A$2:$C$31,3,FALSE)</f>
        <v>Wartung</v>
      </c>
    </row>
    <row r="89" ht="18.5" customHeight="1">
      <c r="A89" t="s" s="21">
        <v>192</v>
      </c>
      <c r="B89" t="s" s="21">
        <v>43</v>
      </c>
      <c r="C89" t="s" s="21">
        <v>38</v>
      </c>
      <c r="D89" s="27">
        <v>2023</v>
      </c>
      <c r="E89" t="s" s="21">
        <v>101</v>
      </c>
      <c r="F89" s="27">
        <v>13.1</v>
      </c>
      <c r="G89" s="27">
        <v>31</v>
      </c>
      <c r="H89" t="str" s="28" cm="1">
        <f t="array" ref="H89">VLOOKUP(B89,'Stammdaten'!$A$2:$C$31,3,FALSE)</f>
        <v>Versand</v>
      </c>
    </row>
    <row r="90" ht="18.5" customHeight="1">
      <c r="A90" t="s" s="21">
        <v>193</v>
      </c>
      <c r="B90" t="s" s="21">
        <v>65</v>
      </c>
      <c r="C90" t="s" s="21">
        <v>25</v>
      </c>
      <c r="D90" s="27">
        <v>2024</v>
      </c>
      <c r="E90" t="s" s="21">
        <v>97</v>
      </c>
      <c r="F90" s="27">
        <v>115.2</v>
      </c>
      <c r="G90" s="27">
        <v>13</v>
      </c>
      <c r="H90" t="str" s="28" cm="1">
        <f t="array" ref="H90">VLOOKUP(B90,'Stammdaten'!$A$2:$C$31,3,FALSE)</f>
        <v>Wartung</v>
      </c>
    </row>
    <row r="91" ht="18.5" customHeight="1">
      <c r="A91" t="s" s="21">
        <v>194</v>
      </c>
      <c r="B91" t="s" s="21">
        <v>71</v>
      </c>
      <c r="C91" t="s" s="21">
        <v>64</v>
      </c>
      <c r="D91" s="27">
        <v>2024</v>
      </c>
      <c r="E91" t="s" s="21">
        <v>97</v>
      </c>
      <c r="F91" s="27">
        <v>30.8</v>
      </c>
      <c r="G91" s="27">
        <v>45</v>
      </c>
      <c r="H91" t="str" s="28" cm="1">
        <f t="array" ref="H91">VLOOKUP(B91,'Stammdaten'!$A$2:$C$31,3,FALSE)</f>
        <v>Wartung</v>
      </c>
    </row>
    <row r="92" ht="18.5" customHeight="1">
      <c r="A92" t="s" s="21">
        <v>195</v>
      </c>
      <c r="B92" t="s" s="21">
        <v>23</v>
      </c>
      <c r="C92" t="s" s="21">
        <v>25</v>
      </c>
      <c r="D92" s="27">
        <v>2024</v>
      </c>
      <c r="E92" t="s" s="21">
        <v>101</v>
      </c>
      <c r="F92" s="27">
        <v>145.7</v>
      </c>
      <c r="G92" s="27">
        <v>45</v>
      </c>
      <c r="H92" t="str" s="28" cm="1">
        <f t="array" ref="H92">VLOOKUP(B92,'Stammdaten'!$A$2:$C$31,3,FALSE)</f>
        <v>Lager</v>
      </c>
    </row>
    <row r="93" ht="18.5" customHeight="1">
      <c r="A93" t="s" s="21">
        <v>196</v>
      </c>
      <c r="B93" t="s" s="21">
        <v>58</v>
      </c>
      <c r="C93" t="s" s="21">
        <v>64</v>
      </c>
      <c r="D93" s="27">
        <v>2023</v>
      </c>
      <c r="E93" t="s" s="21">
        <v>97</v>
      </c>
      <c r="F93" s="27">
        <v>165.6</v>
      </c>
      <c r="G93" s="27">
        <v>8</v>
      </c>
      <c r="H93" t="str" s="28" cm="1">
        <f t="array" ref="H93">VLOOKUP(B93,'Stammdaten'!$A$2:$C$31,3,FALSE)</f>
        <v>Reinigung</v>
      </c>
    </row>
    <row r="94" ht="18.5" customHeight="1">
      <c r="A94" t="s" s="21">
        <v>197</v>
      </c>
      <c r="B94" t="s" s="21">
        <v>54</v>
      </c>
      <c r="C94" t="s" s="21">
        <v>38</v>
      </c>
      <c r="D94" s="27">
        <v>2024</v>
      </c>
      <c r="E94" t="s" s="21">
        <v>97</v>
      </c>
      <c r="F94" s="27">
        <v>177.9</v>
      </c>
      <c r="G94" s="27">
        <v>39</v>
      </c>
      <c r="H94" t="str" s="28" cm="1">
        <f t="array" ref="H94">VLOOKUP(B94,'Stammdaten'!$A$2:$C$31,3,FALSE)</f>
        <v>Reinigung</v>
      </c>
    </row>
    <row r="95" ht="18.5" customHeight="1">
      <c r="A95" t="s" s="21">
        <v>198</v>
      </c>
      <c r="B95" t="s" s="21">
        <v>45</v>
      </c>
      <c r="C95" t="s" s="21">
        <v>64</v>
      </c>
      <c r="D95" s="27">
        <v>2025</v>
      </c>
      <c r="E95" t="s" s="21">
        <v>97</v>
      </c>
      <c r="F95" s="27">
        <v>161.1</v>
      </c>
      <c r="G95" s="27">
        <v>28</v>
      </c>
      <c r="H95" t="str" s="28" cm="1">
        <f t="array" ref="H95">VLOOKUP(B95,'Stammdaten'!$A$2:$C$31,3,FALSE)</f>
        <v>Versand</v>
      </c>
    </row>
    <row r="96" ht="18.5" customHeight="1">
      <c r="A96" t="s" s="21">
        <v>199</v>
      </c>
      <c r="B96" t="s" s="21">
        <v>80</v>
      </c>
      <c r="C96" t="s" s="21">
        <v>104</v>
      </c>
      <c r="D96" s="27">
        <v>2024</v>
      </c>
      <c r="E96" t="s" s="21">
        <v>97</v>
      </c>
      <c r="F96" s="27">
        <v>135.1</v>
      </c>
      <c r="G96" s="27">
        <v>31</v>
      </c>
      <c r="H96" t="str" s="28" cm="1">
        <f t="array" ref="H96">VLOOKUP(B96,'Stammdaten'!$A$2:$C$31,3,FALSE)</f>
        <v>Produktion</v>
      </c>
    </row>
    <row r="97" ht="18.5" customHeight="1">
      <c r="A97" t="s" s="21">
        <v>200</v>
      </c>
      <c r="B97" t="s" s="21">
        <v>54</v>
      </c>
      <c r="C97" t="s" s="21">
        <v>77</v>
      </c>
      <c r="D97" s="27">
        <v>2023</v>
      </c>
      <c r="E97" t="s" s="21">
        <v>97</v>
      </c>
      <c r="F97" s="27">
        <v>53.5</v>
      </c>
      <c r="G97" s="27">
        <v>50</v>
      </c>
      <c r="H97" t="str" s="28" cm="1">
        <f t="array" ref="H97">VLOOKUP(B97,'Stammdaten'!$A$2:$C$31,3,FALSE)</f>
        <v>Reinigung</v>
      </c>
    </row>
    <row r="98" ht="18.5" customHeight="1">
      <c r="A98" t="s" s="21">
        <v>201</v>
      </c>
      <c r="B98" t="s" s="21">
        <v>58</v>
      </c>
      <c r="C98" t="s" s="21">
        <v>64</v>
      </c>
      <c r="D98" s="27">
        <v>2025</v>
      </c>
      <c r="E98" t="s" s="21">
        <v>101</v>
      </c>
      <c r="F98" s="27">
        <v>82</v>
      </c>
      <c r="G98" s="27">
        <v>46</v>
      </c>
      <c r="H98" t="str" s="28" cm="1">
        <f t="array" ref="H98">VLOOKUP(B98,'Stammdaten'!$A$2:$C$31,3,FALSE)</f>
        <v>Reinigung</v>
      </c>
    </row>
    <row r="99" ht="18.5" customHeight="1">
      <c r="A99" t="s" s="21">
        <v>202</v>
      </c>
      <c r="B99" t="s" s="21">
        <v>43</v>
      </c>
      <c r="C99" t="s" s="21">
        <v>38</v>
      </c>
      <c r="D99" s="27">
        <v>2024</v>
      </c>
      <c r="E99" t="s" s="21">
        <v>101</v>
      </c>
      <c r="F99" s="27">
        <v>161.3</v>
      </c>
      <c r="G99" s="27">
        <v>6</v>
      </c>
      <c r="H99" t="str" s="28" cm="1">
        <f t="array" ref="H99">VLOOKUP(B99,'Stammdaten'!$A$2:$C$31,3,FALSE)</f>
        <v>Versand</v>
      </c>
    </row>
    <row r="100" ht="18.5" customHeight="1">
      <c r="A100" t="s" s="21">
        <v>203</v>
      </c>
      <c r="B100" t="s" s="21">
        <v>32</v>
      </c>
      <c r="C100" t="s" s="21">
        <v>38</v>
      </c>
      <c r="D100" s="27">
        <v>2023</v>
      </c>
      <c r="E100" t="s" s="21">
        <v>97</v>
      </c>
      <c r="F100" s="27">
        <v>31.7</v>
      </c>
      <c r="G100" s="27">
        <v>14</v>
      </c>
      <c r="H100" t="str" s="28" cm="1">
        <f t="array" ref="H100">VLOOKUP(B100,'Stammdaten'!$A$2:$C$31,3,FALSE)</f>
        <v>Lager</v>
      </c>
    </row>
    <row r="101" ht="18.5" customHeight="1">
      <c r="A101" t="s" s="21">
        <v>204</v>
      </c>
      <c r="B101" t="s" s="21">
        <v>28</v>
      </c>
      <c r="C101" t="s" s="21">
        <v>64</v>
      </c>
      <c r="D101" s="27">
        <v>2024</v>
      </c>
      <c r="E101" t="s" s="21">
        <v>101</v>
      </c>
      <c r="F101" s="27">
        <v>86.5</v>
      </c>
      <c r="G101" s="27">
        <v>4</v>
      </c>
      <c r="H101" t="str" s="28" cm="1">
        <f t="array" ref="H101">VLOOKUP(B101,'Stammdaten'!$A$2:$C$31,3,FALSE)</f>
        <v>Lager</v>
      </c>
    </row>
    <row r="102" ht="18.5" customHeight="1">
      <c r="A102" t="s" s="21">
        <v>205</v>
      </c>
      <c r="B102" t="s" s="21">
        <v>36</v>
      </c>
      <c r="C102" t="s" s="21">
        <v>64</v>
      </c>
      <c r="D102" s="27">
        <v>2024</v>
      </c>
      <c r="E102" t="s" s="21">
        <v>131</v>
      </c>
      <c r="F102" s="27">
        <v>107.2</v>
      </c>
      <c r="G102" s="27">
        <v>45</v>
      </c>
      <c r="H102" t="str" s="28" cm="1">
        <f t="array" ref="H102">VLOOKUP(B102,'Stammdaten'!$A$2:$C$31,3,FALSE)</f>
        <v>Versand</v>
      </c>
    </row>
    <row r="103" ht="18.5" customHeight="1">
      <c r="A103" t="s" s="21">
        <v>206</v>
      </c>
      <c r="B103" t="s" s="21">
        <v>23</v>
      </c>
      <c r="C103" t="s" s="21">
        <v>104</v>
      </c>
      <c r="D103" s="27">
        <v>2024</v>
      </c>
      <c r="E103" t="s" s="21">
        <v>97</v>
      </c>
      <c r="F103" s="27">
        <v>170</v>
      </c>
      <c r="G103" s="27">
        <v>20</v>
      </c>
      <c r="H103" t="str" s="28" cm="1">
        <f t="array" ref="H103">VLOOKUP(B103,'Stammdaten'!$A$2:$C$31,3,FALSE)</f>
        <v>Lager</v>
      </c>
    </row>
    <row r="104" ht="18.5" customHeight="1">
      <c r="A104" t="s" s="21">
        <v>207</v>
      </c>
      <c r="B104" t="s" s="21">
        <v>75</v>
      </c>
      <c r="C104" t="s" s="21">
        <v>64</v>
      </c>
      <c r="D104" s="27">
        <v>2024</v>
      </c>
      <c r="E104" t="s" s="21">
        <v>97</v>
      </c>
      <c r="F104" s="27">
        <v>133.6</v>
      </c>
      <c r="G104" s="27">
        <v>39</v>
      </c>
      <c r="H104" t="str" s="28" cm="1">
        <f t="array" ref="H104">VLOOKUP(B104,'Stammdaten'!$A$2:$C$31,3,FALSE)</f>
        <v>Produktion</v>
      </c>
    </row>
    <row r="105" ht="18.5" customHeight="1">
      <c r="A105" t="s" s="21">
        <v>208</v>
      </c>
      <c r="B105" t="s" s="21">
        <v>84</v>
      </c>
      <c r="C105" t="s" s="21">
        <v>38</v>
      </c>
      <c r="D105" s="27">
        <v>2024</v>
      </c>
      <c r="E105" t="s" s="21">
        <v>101</v>
      </c>
      <c r="F105" s="27">
        <v>81.3</v>
      </c>
      <c r="G105" s="27">
        <v>2</v>
      </c>
      <c r="H105" t="str" s="28" cm="1">
        <f t="array" ref="H105">VLOOKUP(B105,'Stammdaten'!$A$2:$C$31,3,FALSE)</f>
        <v>Produktion</v>
      </c>
    </row>
    <row r="106" ht="18.5" customHeight="1">
      <c r="A106" t="s" s="21">
        <v>209</v>
      </c>
      <c r="B106" t="s" s="21">
        <v>49</v>
      </c>
      <c r="C106" t="s" s="21">
        <v>77</v>
      </c>
      <c r="D106" s="27">
        <v>2025</v>
      </c>
      <c r="E106" t="s" s="21">
        <v>97</v>
      </c>
      <c r="F106" s="27">
        <v>75.8</v>
      </c>
      <c r="G106" s="27">
        <v>11</v>
      </c>
      <c r="H106" t="str" s="28" cm="1">
        <f t="array" ref="H106">VLOOKUP(B106,'Stammdaten'!$A$2:$C$31,3,FALSE)</f>
        <v>Reinigung</v>
      </c>
    </row>
    <row r="107" ht="18.5" customHeight="1">
      <c r="A107" t="s" s="21">
        <v>210</v>
      </c>
      <c r="B107" t="s" s="21">
        <v>80</v>
      </c>
      <c r="C107" t="s" s="21">
        <v>64</v>
      </c>
      <c r="D107" s="27">
        <v>2023</v>
      </c>
      <c r="E107" t="s" s="21">
        <v>131</v>
      </c>
      <c r="F107" s="27">
        <v>98.5</v>
      </c>
      <c r="G107" s="27">
        <v>26</v>
      </c>
      <c r="H107" t="str" s="28" cm="1">
        <f t="array" ref="H107">VLOOKUP(B107,'Stammdaten'!$A$2:$C$31,3,FALSE)</f>
        <v>Produktion</v>
      </c>
    </row>
    <row r="108" ht="18.5" customHeight="1">
      <c r="A108" t="s" s="21">
        <v>211</v>
      </c>
      <c r="B108" t="s" s="21">
        <v>62</v>
      </c>
      <c r="C108" t="s" s="21">
        <v>104</v>
      </c>
      <c r="D108" s="27">
        <v>2025</v>
      </c>
      <c r="E108" t="s" s="21">
        <v>101</v>
      </c>
      <c r="F108" s="27">
        <v>117.5</v>
      </c>
      <c r="G108" s="27">
        <v>9</v>
      </c>
      <c r="H108" t="str" s="28" cm="1">
        <f t="array" ref="H108">VLOOKUP(B108,'Stammdaten'!$A$2:$C$31,3,FALSE)</f>
        <v>Wartung</v>
      </c>
    </row>
    <row r="109" ht="18.5" customHeight="1">
      <c r="A109" t="s" s="21">
        <v>212</v>
      </c>
      <c r="B109" t="s" s="21">
        <v>82</v>
      </c>
      <c r="C109" t="s" s="21">
        <v>64</v>
      </c>
      <c r="D109" s="27">
        <v>2023</v>
      </c>
      <c r="E109" t="s" s="21">
        <v>101</v>
      </c>
      <c r="F109" s="27">
        <v>71.3</v>
      </c>
      <c r="G109" s="27">
        <v>14</v>
      </c>
      <c r="H109" t="str" s="28" cm="1">
        <f t="array" ref="H109">VLOOKUP(B109,'Stammdaten'!$A$2:$C$31,3,FALSE)</f>
        <v>Produktion</v>
      </c>
    </row>
    <row r="110" ht="18.5" customHeight="1">
      <c r="A110" t="s" s="21">
        <v>213</v>
      </c>
      <c r="B110" t="s" s="21">
        <v>54</v>
      </c>
      <c r="C110" t="s" s="21">
        <v>77</v>
      </c>
      <c r="D110" s="27">
        <v>2024</v>
      </c>
      <c r="E110" t="s" s="21">
        <v>97</v>
      </c>
      <c r="F110" s="27">
        <v>71.3</v>
      </c>
      <c r="G110" s="27">
        <v>49</v>
      </c>
      <c r="H110" t="str" s="28" cm="1">
        <f t="array" ref="H110">VLOOKUP(B110,'Stammdaten'!$A$2:$C$31,3,FALSE)</f>
        <v>Reinigung</v>
      </c>
    </row>
    <row r="111" ht="18.5" customHeight="1">
      <c r="A111" t="s" s="21">
        <v>214</v>
      </c>
      <c r="B111" t="s" s="21">
        <v>80</v>
      </c>
      <c r="C111" t="s" s="21">
        <v>64</v>
      </c>
      <c r="D111" s="27">
        <v>2024</v>
      </c>
      <c r="E111" t="s" s="21">
        <v>97</v>
      </c>
      <c r="F111" s="27">
        <v>87.3</v>
      </c>
      <c r="G111" s="27">
        <v>48</v>
      </c>
      <c r="H111" t="str" s="28" cm="1">
        <f t="array" ref="H111">VLOOKUP(B111,'Stammdaten'!$A$2:$C$31,3,FALSE)</f>
        <v>Produktion</v>
      </c>
    </row>
    <row r="112" ht="18.5" customHeight="1">
      <c r="A112" t="s" s="21">
        <v>215</v>
      </c>
      <c r="B112" t="s" s="21">
        <v>60</v>
      </c>
      <c r="C112" t="s" s="21">
        <v>25</v>
      </c>
      <c r="D112" s="27">
        <v>2024</v>
      </c>
      <c r="E112" t="s" s="21">
        <v>101</v>
      </c>
      <c r="F112" s="27">
        <v>17</v>
      </c>
      <c r="G112" s="27">
        <v>42</v>
      </c>
      <c r="H112" t="str" s="28" cm="1">
        <f t="array" ref="H112">VLOOKUP(B112,'Stammdaten'!$A$2:$C$31,3,FALSE)</f>
        <v>Reinigung</v>
      </c>
    </row>
    <row r="113" ht="18.5" customHeight="1">
      <c r="A113" t="s" s="21">
        <v>216</v>
      </c>
      <c r="B113" t="s" s="21">
        <v>26</v>
      </c>
      <c r="C113" t="s" s="21">
        <v>25</v>
      </c>
      <c r="D113" s="27">
        <v>2023</v>
      </c>
      <c r="E113" t="s" s="21">
        <v>101</v>
      </c>
      <c r="F113" s="27">
        <v>8.6</v>
      </c>
      <c r="G113" s="27">
        <v>10</v>
      </c>
      <c r="H113" t="str" s="28" cm="1">
        <f t="array" ref="H113">VLOOKUP(B113,'Stammdaten'!$A$2:$C$31,3,FALSE)</f>
        <v>Lager</v>
      </c>
    </row>
    <row r="114" ht="18.5" customHeight="1">
      <c r="A114" t="s" s="21">
        <v>217</v>
      </c>
      <c r="B114" t="s" s="21">
        <v>39</v>
      </c>
      <c r="C114" t="s" s="21">
        <v>38</v>
      </c>
      <c r="D114" s="27">
        <v>2024</v>
      </c>
      <c r="E114" t="s" s="21">
        <v>97</v>
      </c>
      <c r="F114" s="27">
        <v>103.7</v>
      </c>
      <c r="G114" s="27">
        <v>14</v>
      </c>
      <c r="H114" t="str" s="28" cm="1">
        <f t="array" ref="H114">VLOOKUP(B114,'Stammdaten'!$A$2:$C$31,3,FALSE)</f>
        <v>Versand</v>
      </c>
    </row>
    <row r="115" ht="18.5" customHeight="1">
      <c r="A115" t="s" s="21">
        <v>218</v>
      </c>
      <c r="B115" t="s" s="21">
        <v>54</v>
      </c>
      <c r="C115" t="s" s="21">
        <v>77</v>
      </c>
      <c r="D115" s="27">
        <v>2024</v>
      </c>
      <c r="E115" t="s" s="21">
        <v>101</v>
      </c>
      <c r="F115" s="27">
        <v>111.3</v>
      </c>
      <c r="G115" s="27">
        <v>48</v>
      </c>
      <c r="H115" t="str" s="28" cm="1">
        <f t="array" ref="H115">VLOOKUP(B115,'Stammdaten'!$A$2:$C$31,3,FALSE)</f>
        <v>Reinigung</v>
      </c>
    </row>
    <row r="116" ht="18.5" customHeight="1">
      <c r="A116" t="s" s="21">
        <v>219</v>
      </c>
      <c r="B116" t="s" s="21">
        <v>71</v>
      </c>
      <c r="C116" t="s" s="21">
        <v>25</v>
      </c>
      <c r="D116" s="27">
        <v>2023</v>
      </c>
      <c r="E116" t="s" s="21">
        <v>131</v>
      </c>
      <c r="F116" s="27">
        <v>23.9</v>
      </c>
      <c r="G116" s="27">
        <v>2</v>
      </c>
      <c r="H116" t="str" s="28" cm="1">
        <f t="array" ref="H116">VLOOKUP(B116,'Stammdaten'!$A$2:$C$31,3,FALSE)</f>
        <v>Wartung</v>
      </c>
    </row>
    <row r="117" ht="18.5" customHeight="1">
      <c r="A117" t="s" s="21">
        <v>220</v>
      </c>
      <c r="B117" t="s" s="21">
        <v>86</v>
      </c>
      <c r="C117" t="s" s="21">
        <v>77</v>
      </c>
      <c r="D117" s="27">
        <v>2025</v>
      </c>
      <c r="E117" t="s" s="21">
        <v>97</v>
      </c>
      <c r="F117" s="27">
        <v>172.7</v>
      </c>
      <c r="G117" s="27">
        <v>26</v>
      </c>
      <c r="H117" t="str" s="28" cm="1">
        <f t="array" ref="H117">VLOOKUP(B117,'Stammdaten'!$A$2:$C$31,3,FALSE)</f>
        <v>Produktion</v>
      </c>
    </row>
    <row r="118" ht="18.5" customHeight="1">
      <c r="A118" t="s" s="21">
        <v>221</v>
      </c>
      <c r="B118" t="s" s="21">
        <v>71</v>
      </c>
      <c r="C118" t="s" s="21">
        <v>38</v>
      </c>
      <c r="D118" s="27">
        <v>2023</v>
      </c>
      <c r="E118" t="s" s="21">
        <v>97</v>
      </c>
      <c r="F118" s="27">
        <v>150.4</v>
      </c>
      <c r="G118" s="27">
        <v>16</v>
      </c>
      <c r="H118" t="str" s="28" cm="1">
        <f t="array" ref="H118">VLOOKUP(B118,'Stammdaten'!$A$2:$C$31,3,FALSE)</f>
        <v>Wartung</v>
      </c>
    </row>
    <row r="119" ht="18.5" customHeight="1">
      <c r="A119" t="s" s="21">
        <v>222</v>
      </c>
      <c r="B119" t="s" s="21">
        <v>30</v>
      </c>
      <c r="C119" t="s" s="21">
        <v>77</v>
      </c>
      <c r="D119" s="27">
        <v>2025</v>
      </c>
      <c r="E119" t="s" s="21">
        <v>97</v>
      </c>
      <c r="F119" s="27">
        <v>26.2</v>
      </c>
      <c r="G119" s="27">
        <v>37</v>
      </c>
      <c r="H119" t="str" s="28" cm="1">
        <f t="array" ref="H119">VLOOKUP(B119,'Stammdaten'!$A$2:$C$31,3,FALSE)</f>
        <v>Lager</v>
      </c>
    </row>
    <row r="120" ht="18.5" customHeight="1">
      <c r="A120" t="s" s="21">
        <v>223</v>
      </c>
      <c r="B120" t="s" s="21">
        <v>78</v>
      </c>
      <c r="C120" t="s" s="21">
        <v>25</v>
      </c>
      <c r="D120" s="27">
        <v>2024</v>
      </c>
      <c r="E120" t="s" s="21">
        <v>97</v>
      </c>
      <c r="F120" s="27">
        <v>120.8</v>
      </c>
      <c r="G120" s="27">
        <v>5</v>
      </c>
      <c r="H120" t="str" s="28" cm="1">
        <f t="array" ref="H120">VLOOKUP(B120,'Stammdaten'!$A$2:$C$31,3,FALSE)</f>
        <v>Produktion</v>
      </c>
    </row>
    <row r="121" ht="18.5" customHeight="1">
      <c r="A121" t="s" s="21">
        <v>224</v>
      </c>
      <c r="B121" t="s" s="21">
        <v>58</v>
      </c>
      <c r="C121" t="s" s="21">
        <v>77</v>
      </c>
      <c r="D121" s="27">
        <v>2023</v>
      </c>
      <c r="E121" t="s" s="21">
        <v>97</v>
      </c>
      <c r="F121" s="27">
        <v>148.9</v>
      </c>
      <c r="G121" s="27">
        <v>7</v>
      </c>
      <c r="H121" t="str" s="28" cm="1">
        <f t="array" ref="H121">VLOOKUP(B121,'Stammdaten'!$A$2:$C$31,3,FALSE)</f>
        <v>Reinigung</v>
      </c>
    </row>
    <row r="122" ht="18.5" customHeight="1">
      <c r="A122" t="s" s="21">
        <v>225</v>
      </c>
      <c r="B122" t="s" s="21">
        <v>52</v>
      </c>
      <c r="C122" t="s" s="21">
        <v>77</v>
      </c>
      <c r="D122" s="27">
        <v>2025</v>
      </c>
      <c r="E122" t="s" s="21">
        <v>97</v>
      </c>
      <c r="F122" s="27">
        <v>85.5</v>
      </c>
      <c r="G122" s="27">
        <v>10</v>
      </c>
      <c r="H122" t="str" s="28" cm="1">
        <f t="array" ref="H122">VLOOKUP(B122,'Stammdaten'!$A$2:$C$31,3,FALSE)</f>
        <v>Reinigung</v>
      </c>
    </row>
    <row r="123" ht="18.5" customHeight="1">
      <c r="A123" t="s" s="21">
        <v>226</v>
      </c>
      <c r="B123" t="s" s="21">
        <v>52</v>
      </c>
      <c r="C123" t="s" s="21">
        <v>38</v>
      </c>
      <c r="D123" s="27">
        <v>2025</v>
      </c>
      <c r="E123" t="s" s="21">
        <v>97</v>
      </c>
      <c r="F123" s="27">
        <v>118.8</v>
      </c>
      <c r="G123" s="27">
        <v>40</v>
      </c>
      <c r="H123" t="str" s="28" cm="1">
        <f t="array" ref="H123">VLOOKUP(B123,'Stammdaten'!$A$2:$C$31,3,FALSE)</f>
        <v>Reinigung</v>
      </c>
    </row>
    <row r="124" ht="18.5" customHeight="1">
      <c r="A124" t="s" s="21">
        <v>227</v>
      </c>
      <c r="B124" t="s" s="21">
        <v>78</v>
      </c>
      <c r="C124" t="s" s="21">
        <v>104</v>
      </c>
      <c r="D124" s="27">
        <v>2024</v>
      </c>
      <c r="E124" t="s" s="21">
        <v>97</v>
      </c>
      <c r="F124" s="27">
        <v>149.5</v>
      </c>
      <c r="G124" s="27">
        <v>38</v>
      </c>
      <c r="H124" t="str" s="28" cm="1">
        <f t="array" ref="H124">VLOOKUP(B124,'Stammdaten'!$A$2:$C$31,3,FALSE)</f>
        <v>Produktion</v>
      </c>
    </row>
    <row r="125" ht="18.5" customHeight="1">
      <c r="A125" t="s" s="21">
        <v>228</v>
      </c>
      <c r="B125" t="s" s="21">
        <v>41</v>
      </c>
      <c r="C125" t="s" s="21">
        <v>77</v>
      </c>
      <c r="D125" s="27">
        <v>2023</v>
      </c>
      <c r="E125" t="s" s="21">
        <v>97</v>
      </c>
      <c r="F125" s="27">
        <v>20.2</v>
      </c>
      <c r="G125" s="27">
        <v>29</v>
      </c>
      <c r="H125" t="str" s="28" cm="1">
        <f t="array" ref="H125">VLOOKUP(B125,'Stammdaten'!$A$2:$C$31,3,FALSE)</f>
        <v>Versand</v>
      </c>
    </row>
    <row r="126" ht="18.5" customHeight="1">
      <c r="A126" t="s" s="21">
        <v>229</v>
      </c>
      <c r="B126" t="s" s="21">
        <v>39</v>
      </c>
      <c r="C126" t="s" s="21">
        <v>64</v>
      </c>
      <c r="D126" s="27">
        <v>2025</v>
      </c>
      <c r="E126" t="s" s="21">
        <v>97</v>
      </c>
      <c r="F126" s="27">
        <v>71.3</v>
      </c>
      <c r="G126" s="27">
        <v>2</v>
      </c>
      <c r="H126" t="str" s="28" cm="1">
        <f t="array" ref="H126">VLOOKUP(B126,'Stammdaten'!$A$2:$C$31,3,FALSE)</f>
        <v>Versand</v>
      </c>
    </row>
    <row r="127" ht="18.5" customHeight="1">
      <c r="A127" t="s" s="21">
        <v>230</v>
      </c>
      <c r="B127" t="s" s="21">
        <v>56</v>
      </c>
      <c r="C127" t="s" s="21">
        <v>77</v>
      </c>
      <c r="D127" s="27">
        <v>2023</v>
      </c>
      <c r="E127" t="s" s="21">
        <v>97</v>
      </c>
      <c r="F127" s="27">
        <v>67.09999999999999</v>
      </c>
      <c r="G127" s="27">
        <v>17</v>
      </c>
      <c r="H127" t="str" s="28" cm="1">
        <f t="array" ref="H127">VLOOKUP(B127,'Stammdaten'!$A$2:$C$31,3,FALSE)</f>
        <v>Reinigung</v>
      </c>
    </row>
    <row r="128" ht="18.5" customHeight="1">
      <c r="A128" t="s" s="21">
        <v>231</v>
      </c>
      <c r="B128" t="s" s="21">
        <v>45</v>
      </c>
      <c r="C128" t="s" s="21">
        <v>77</v>
      </c>
      <c r="D128" s="27">
        <v>2025</v>
      </c>
      <c r="E128" t="s" s="21">
        <v>97</v>
      </c>
      <c r="F128" s="27">
        <v>53.3</v>
      </c>
      <c r="G128" s="27">
        <v>1</v>
      </c>
      <c r="H128" t="str" s="28" cm="1">
        <f t="array" ref="H128">VLOOKUP(B128,'Stammdaten'!$A$2:$C$31,3,FALSE)</f>
        <v>Versand</v>
      </c>
    </row>
    <row r="129" ht="18.5" customHeight="1">
      <c r="A129" t="s" s="21">
        <v>232</v>
      </c>
      <c r="B129" t="s" s="21">
        <v>58</v>
      </c>
      <c r="C129" t="s" s="21">
        <v>38</v>
      </c>
      <c r="D129" s="27">
        <v>2023</v>
      </c>
      <c r="E129" t="s" s="21">
        <v>101</v>
      </c>
      <c r="F129" s="27">
        <v>76.09999999999999</v>
      </c>
      <c r="G129" s="27">
        <v>36</v>
      </c>
      <c r="H129" t="str" s="28" cm="1">
        <f t="array" ref="H129">VLOOKUP(B129,'Stammdaten'!$A$2:$C$31,3,FALSE)</f>
        <v>Reinigung</v>
      </c>
    </row>
    <row r="130" ht="18.5" customHeight="1">
      <c r="A130" t="s" s="21">
        <v>233</v>
      </c>
      <c r="B130" t="s" s="21">
        <v>75</v>
      </c>
      <c r="C130" t="s" s="21">
        <v>38</v>
      </c>
      <c r="D130" s="27">
        <v>2025</v>
      </c>
      <c r="E130" t="s" s="21">
        <v>97</v>
      </c>
      <c r="F130" s="27">
        <v>129.6</v>
      </c>
      <c r="G130" s="27">
        <v>29</v>
      </c>
      <c r="H130" t="str" s="28" cm="1">
        <f t="array" ref="H130">VLOOKUP(B130,'Stammdaten'!$A$2:$C$31,3,FALSE)</f>
        <v>Produktion</v>
      </c>
    </row>
    <row r="131" ht="18.5" customHeight="1">
      <c r="A131" t="s" s="21">
        <v>234</v>
      </c>
      <c r="B131" t="s" s="21">
        <v>78</v>
      </c>
      <c r="C131" t="s" s="21">
        <v>25</v>
      </c>
      <c r="D131" s="27">
        <v>2023</v>
      </c>
      <c r="E131" t="s" s="21">
        <v>101</v>
      </c>
      <c r="F131" s="27">
        <v>75.8</v>
      </c>
      <c r="G131" s="27">
        <v>16</v>
      </c>
      <c r="H131" t="str" s="28" cm="1">
        <f t="array" ref="H131">VLOOKUP(B131,'Stammdaten'!$A$2:$C$31,3,FALSE)</f>
        <v>Produktion</v>
      </c>
    </row>
    <row r="132" ht="18.5" customHeight="1">
      <c r="A132" t="s" s="21">
        <v>235</v>
      </c>
      <c r="B132" t="s" s="21">
        <v>43</v>
      </c>
      <c r="C132" t="s" s="21">
        <v>104</v>
      </c>
      <c r="D132" s="27">
        <v>2024</v>
      </c>
      <c r="E132" t="s" s="21">
        <v>97</v>
      </c>
      <c r="F132" s="27">
        <v>97.90000000000001</v>
      </c>
      <c r="G132" s="27">
        <v>28</v>
      </c>
      <c r="H132" t="str" s="28" cm="1">
        <f t="array" ref="H132">VLOOKUP(B132,'Stammdaten'!$A$2:$C$31,3,FALSE)</f>
        <v>Versand</v>
      </c>
    </row>
    <row r="133" ht="18.5" customHeight="1">
      <c r="A133" t="s" s="21">
        <v>236</v>
      </c>
      <c r="B133" t="s" s="21">
        <v>73</v>
      </c>
      <c r="C133" t="s" s="21">
        <v>104</v>
      </c>
      <c r="D133" s="27">
        <v>2024</v>
      </c>
      <c r="E133" t="s" s="21">
        <v>97</v>
      </c>
      <c r="F133" s="27">
        <v>84.40000000000001</v>
      </c>
      <c r="G133" s="27">
        <v>20</v>
      </c>
      <c r="H133" t="str" s="28" cm="1">
        <f t="array" ref="H133">VLOOKUP(B133,'Stammdaten'!$A$2:$C$31,3,FALSE)</f>
        <v>Wartung</v>
      </c>
    </row>
    <row r="134" ht="18.5" customHeight="1">
      <c r="A134" t="s" s="21">
        <v>237</v>
      </c>
      <c r="B134" t="s" s="21">
        <v>41</v>
      </c>
      <c r="C134" t="s" s="21">
        <v>38</v>
      </c>
      <c r="D134" s="27">
        <v>2023</v>
      </c>
      <c r="E134" t="s" s="21">
        <v>97</v>
      </c>
      <c r="F134" s="27">
        <v>60.2</v>
      </c>
      <c r="G134" s="27">
        <v>48</v>
      </c>
      <c r="H134" t="str" s="28" cm="1">
        <f t="array" ref="H134">VLOOKUP(B134,'Stammdaten'!$A$2:$C$31,3,FALSE)</f>
        <v>Versand</v>
      </c>
    </row>
    <row r="135" ht="18.5" customHeight="1">
      <c r="A135" t="s" s="21">
        <v>238</v>
      </c>
      <c r="B135" t="s" s="21">
        <v>60</v>
      </c>
      <c r="C135" t="s" s="21">
        <v>38</v>
      </c>
      <c r="D135" s="27">
        <v>2023</v>
      </c>
      <c r="E135" t="s" s="21">
        <v>101</v>
      </c>
      <c r="F135" s="27">
        <v>89.7</v>
      </c>
      <c r="G135" s="27">
        <v>47</v>
      </c>
      <c r="H135" t="str" s="28" cm="1">
        <f t="array" ref="H135">VLOOKUP(B135,'Stammdaten'!$A$2:$C$31,3,FALSE)</f>
        <v>Reinigung</v>
      </c>
    </row>
    <row r="136" ht="18.5" customHeight="1">
      <c r="A136" t="s" s="21">
        <v>239</v>
      </c>
      <c r="B136" t="s" s="21">
        <v>62</v>
      </c>
      <c r="C136" t="s" s="21">
        <v>104</v>
      </c>
      <c r="D136" s="27">
        <v>2025</v>
      </c>
      <c r="E136" t="s" s="21">
        <v>101</v>
      </c>
      <c r="F136" s="27">
        <v>22.6</v>
      </c>
      <c r="G136" s="27">
        <v>13</v>
      </c>
      <c r="H136" t="str" s="28" cm="1">
        <f t="array" ref="H136">VLOOKUP(B136,'Stammdaten'!$A$2:$C$31,3,FALSE)</f>
        <v>Wartung</v>
      </c>
    </row>
    <row r="137" ht="18.5" customHeight="1">
      <c r="A137" t="s" s="21">
        <v>240</v>
      </c>
      <c r="B137" t="s" s="21">
        <v>43</v>
      </c>
      <c r="C137" t="s" s="21">
        <v>38</v>
      </c>
      <c r="D137" s="27">
        <v>2024</v>
      </c>
      <c r="E137" t="s" s="21">
        <v>101</v>
      </c>
      <c r="F137" s="27">
        <v>7.5</v>
      </c>
      <c r="G137" s="27">
        <v>35</v>
      </c>
      <c r="H137" t="str" s="28" cm="1">
        <f t="array" ref="H137">VLOOKUP(B137,'Stammdaten'!$A$2:$C$31,3,FALSE)</f>
        <v>Versand</v>
      </c>
    </row>
    <row r="138" ht="18.5" customHeight="1">
      <c r="A138" t="s" s="21">
        <v>241</v>
      </c>
      <c r="B138" t="s" s="21">
        <v>32</v>
      </c>
      <c r="C138" t="s" s="21">
        <v>77</v>
      </c>
      <c r="D138" s="27">
        <v>2023</v>
      </c>
      <c r="E138" t="s" s="21">
        <v>131</v>
      </c>
      <c r="F138" s="27">
        <v>101.8</v>
      </c>
      <c r="G138" s="27">
        <v>45</v>
      </c>
      <c r="H138" t="str" s="28" cm="1">
        <f t="array" ref="H138">VLOOKUP(B138,'Stammdaten'!$A$2:$C$31,3,FALSE)</f>
        <v>Lager</v>
      </c>
    </row>
    <row r="139" ht="18.5" customHeight="1">
      <c r="A139" t="s" s="21">
        <v>242</v>
      </c>
      <c r="B139" t="s" s="21">
        <v>32</v>
      </c>
      <c r="C139" t="s" s="21">
        <v>64</v>
      </c>
      <c r="D139" s="27">
        <v>2023</v>
      </c>
      <c r="E139" t="s" s="21">
        <v>97</v>
      </c>
      <c r="F139" s="27">
        <v>105.5</v>
      </c>
      <c r="G139" s="27">
        <v>31</v>
      </c>
      <c r="H139" t="str" s="28" cm="1">
        <f t="array" ref="H139">VLOOKUP(B139,'Stammdaten'!$A$2:$C$31,3,FALSE)</f>
        <v>Lager</v>
      </c>
    </row>
    <row r="140" ht="18.5" customHeight="1">
      <c r="A140" t="s" s="21">
        <v>243</v>
      </c>
      <c r="B140" t="s" s="21">
        <v>56</v>
      </c>
      <c r="C140" t="s" s="21">
        <v>64</v>
      </c>
      <c r="D140" s="27">
        <v>2024</v>
      </c>
      <c r="E140" t="s" s="21">
        <v>101</v>
      </c>
      <c r="F140" s="27">
        <v>14</v>
      </c>
      <c r="G140" s="27">
        <v>31</v>
      </c>
      <c r="H140" t="str" s="28" cm="1">
        <f t="array" ref="H140">VLOOKUP(B140,'Stammdaten'!$A$2:$C$31,3,FALSE)</f>
        <v>Reinigung</v>
      </c>
    </row>
    <row r="141" ht="18.5" customHeight="1">
      <c r="A141" t="s" s="21">
        <v>244</v>
      </c>
      <c r="B141" t="s" s="21">
        <v>30</v>
      </c>
      <c r="C141" t="s" s="21">
        <v>25</v>
      </c>
      <c r="D141" s="27">
        <v>2024</v>
      </c>
      <c r="E141" t="s" s="21">
        <v>97</v>
      </c>
      <c r="F141" s="27">
        <v>106</v>
      </c>
      <c r="G141" s="27">
        <v>44</v>
      </c>
      <c r="H141" t="str" s="28" cm="1">
        <f t="array" ref="H141">VLOOKUP(B141,'Stammdaten'!$A$2:$C$31,3,FALSE)</f>
        <v>Lager</v>
      </c>
    </row>
    <row r="142" ht="18.5" customHeight="1">
      <c r="A142" t="s" s="21">
        <v>245</v>
      </c>
      <c r="B142" t="s" s="21">
        <v>26</v>
      </c>
      <c r="C142" t="s" s="21">
        <v>38</v>
      </c>
      <c r="D142" s="27">
        <v>2023</v>
      </c>
      <c r="E142" t="s" s="21">
        <v>97</v>
      </c>
      <c r="F142" s="27">
        <v>171.1</v>
      </c>
      <c r="G142" s="27">
        <v>6</v>
      </c>
      <c r="H142" t="str" s="28" cm="1">
        <f t="array" ref="H142">VLOOKUP(B142,'Stammdaten'!$A$2:$C$31,3,FALSE)</f>
        <v>Lager</v>
      </c>
    </row>
    <row r="143" ht="18.5" customHeight="1">
      <c r="A143" t="s" s="21">
        <v>246</v>
      </c>
      <c r="B143" t="s" s="21">
        <v>39</v>
      </c>
      <c r="C143" t="s" s="21">
        <v>25</v>
      </c>
      <c r="D143" s="27">
        <v>2025</v>
      </c>
      <c r="E143" t="s" s="21">
        <v>97</v>
      </c>
      <c r="F143" s="27">
        <v>111.1</v>
      </c>
      <c r="G143" s="27">
        <v>40</v>
      </c>
      <c r="H143" t="str" s="28" cm="1">
        <f t="array" ref="H143">VLOOKUP(B143,'Stammdaten'!$A$2:$C$31,3,FALSE)</f>
        <v>Versand</v>
      </c>
    </row>
    <row r="144" ht="18.5" customHeight="1">
      <c r="A144" t="s" s="21">
        <v>247</v>
      </c>
      <c r="B144" t="s" s="21">
        <v>39</v>
      </c>
      <c r="C144" t="s" s="21">
        <v>104</v>
      </c>
      <c r="D144" s="27">
        <v>2024</v>
      </c>
      <c r="E144" t="s" s="21">
        <v>97</v>
      </c>
      <c r="F144" s="27">
        <v>82.5</v>
      </c>
      <c r="G144" s="27">
        <v>38</v>
      </c>
      <c r="H144" t="str" s="28" cm="1">
        <f t="array" ref="H144">VLOOKUP(B144,'Stammdaten'!$A$2:$C$31,3,FALSE)</f>
        <v>Versand</v>
      </c>
    </row>
    <row r="145" ht="18.5" customHeight="1">
      <c r="A145" t="s" s="21">
        <v>248</v>
      </c>
      <c r="B145" t="s" s="21">
        <v>52</v>
      </c>
      <c r="C145" t="s" s="21">
        <v>77</v>
      </c>
      <c r="D145" s="27">
        <v>2025</v>
      </c>
      <c r="E145" t="s" s="21">
        <v>97</v>
      </c>
      <c r="F145" s="27">
        <v>111.7</v>
      </c>
      <c r="G145" s="27">
        <v>48</v>
      </c>
      <c r="H145" t="str" s="28" cm="1">
        <f t="array" ref="H145">VLOOKUP(B145,'Stammdaten'!$A$2:$C$31,3,FALSE)</f>
        <v>Reinigung</v>
      </c>
    </row>
    <row r="146" ht="18.5" customHeight="1">
      <c r="A146" t="s" s="21">
        <v>249</v>
      </c>
      <c r="B146" t="s" s="21">
        <v>30</v>
      </c>
      <c r="C146" t="s" s="21">
        <v>38</v>
      </c>
      <c r="D146" s="27">
        <v>2025</v>
      </c>
      <c r="E146" t="s" s="21">
        <v>101</v>
      </c>
      <c r="F146" s="27">
        <v>120.6</v>
      </c>
      <c r="G146" s="27">
        <v>11</v>
      </c>
      <c r="H146" t="str" s="28" cm="1">
        <f t="array" ref="H146">VLOOKUP(B146,'Stammdaten'!$A$2:$C$31,3,FALSE)</f>
        <v>Lager</v>
      </c>
    </row>
    <row r="147" ht="18.5" customHeight="1">
      <c r="A147" t="s" s="21">
        <v>250</v>
      </c>
      <c r="B147" t="s" s="21">
        <v>39</v>
      </c>
      <c r="C147" t="s" s="21">
        <v>38</v>
      </c>
      <c r="D147" s="27">
        <v>2025</v>
      </c>
      <c r="E147" t="s" s="21">
        <v>101</v>
      </c>
      <c r="F147" s="27">
        <v>5.5</v>
      </c>
      <c r="G147" s="27">
        <v>29</v>
      </c>
      <c r="H147" t="str" s="28" cm="1">
        <f t="array" ref="H147">VLOOKUP(B147,'Stammdaten'!$A$2:$C$31,3,FALSE)</f>
        <v>Versand</v>
      </c>
    </row>
    <row r="148" ht="18.5" customHeight="1">
      <c r="A148" t="s" s="21">
        <v>251</v>
      </c>
      <c r="B148" t="s" s="21">
        <v>71</v>
      </c>
      <c r="C148" t="s" s="21">
        <v>104</v>
      </c>
      <c r="D148" s="27">
        <v>2024</v>
      </c>
      <c r="E148" t="s" s="21">
        <v>101</v>
      </c>
      <c r="F148" s="27">
        <v>45.5</v>
      </c>
      <c r="G148" s="27">
        <v>46</v>
      </c>
      <c r="H148" t="str" s="28" cm="1">
        <f t="array" ref="H148">VLOOKUP(B148,'Stammdaten'!$A$2:$C$31,3,FALSE)</f>
        <v>Wartung</v>
      </c>
    </row>
    <row r="149" ht="18.5" customHeight="1">
      <c r="A149" t="s" s="21">
        <v>252</v>
      </c>
      <c r="B149" t="s" s="21">
        <v>43</v>
      </c>
      <c r="C149" t="s" s="21">
        <v>64</v>
      </c>
      <c r="D149" s="27">
        <v>2023</v>
      </c>
      <c r="E149" t="s" s="21">
        <v>97</v>
      </c>
      <c r="F149" s="27">
        <v>166.7</v>
      </c>
      <c r="G149" s="27">
        <v>41</v>
      </c>
      <c r="H149" t="str" s="28" cm="1">
        <f t="array" ref="H149">VLOOKUP(B149,'Stammdaten'!$A$2:$C$31,3,FALSE)</f>
        <v>Versand</v>
      </c>
    </row>
    <row r="150" ht="18.5" customHeight="1">
      <c r="A150" t="s" s="21">
        <v>253</v>
      </c>
      <c r="B150" t="s" s="21">
        <v>62</v>
      </c>
      <c r="C150" t="s" s="21">
        <v>38</v>
      </c>
      <c r="D150" s="27">
        <v>2024</v>
      </c>
      <c r="E150" t="s" s="21">
        <v>101</v>
      </c>
      <c r="F150" s="27">
        <v>44.3</v>
      </c>
      <c r="G150" s="27">
        <v>10</v>
      </c>
      <c r="H150" t="str" s="28" cm="1">
        <f t="array" ref="H150">VLOOKUP(B150,'Stammdaten'!$A$2:$C$31,3,FALSE)</f>
        <v>Wartung</v>
      </c>
    </row>
    <row r="151" ht="18.5" customHeight="1">
      <c r="A151" t="s" s="21">
        <v>254</v>
      </c>
      <c r="B151" t="s" s="21">
        <v>86</v>
      </c>
      <c r="C151" t="s" s="21">
        <v>77</v>
      </c>
      <c r="D151" s="27">
        <v>2023</v>
      </c>
      <c r="E151" t="s" s="21">
        <v>101</v>
      </c>
      <c r="F151" s="27">
        <v>34</v>
      </c>
      <c r="G151" s="27">
        <v>20</v>
      </c>
      <c r="H151" t="str" s="28" cm="1">
        <f t="array" ref="H151">VLOOKUP(B151,'Stammdaten'!$A$2:$C$31,3,FALSE)</f>
        <v>Produktion</v>
      </c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D25"/>
  <sheetViews>
    <sheetView workbookViewId="0" showGridLines="0" defaultGridColor="1"/>
  </sheetViews>
  <sheetFormatPr defaultColWidth="8.66667" defaultRowHeight="15" customHeight="1" outlineLevelRow="0" outlineLevelCol="0"/>
  <cols>
    <col min="1" max="1" width="109.32" style="29" customWidth="1"/>
    <col min="2" max="2" width="24.2969" style="29" customWidth="1"/>
    <col min="3" max="3" width="26.7188" style="29" customWidth="1"/>
    <col min="4" max="4" width="10.5469" style="29" customWidth="1"/>
    <col min="5" max="16384" width="8.67188" style="29" customWidth="1"/>
  </cols>
  <sheetData>
    <row r="1" ht="23.25" customHeight="1">
      <c r="A1" t="s" s="30">
        <v>256</v>
      </c>
      <c r="B1" s="31"/>
      <c r="C1" s="32"/>
      <c r="D1" s="9"/>
    </row>
    <row r="2" ht="18.35" customHeight="1">
      <c r="A2" s="33"/>
      <c r="B2" s="34"/>
      <c r="C2" s="35"/>
      <c r="D2" s="12"/>
    </row>
    <row r="3" ht="42.4" customHeight="1">
      <c r="A3" t="s" s="36">
        <v>257</v>
      </c>
      <c r="B3" t="s" s="37">
        <v>258</v>
      </c>
      <c r="C3" s="38" cm="1">
        <f t="array" ref="C3">SUMIF('Bewegungen'!$C$2:$C$151,"Lager",'Bewegungen'!$F$2:$F$151)</f>
        <v>2412.5</v>
      </c>
      <c r="D3" s="39"/>
    </row>
    <row r="4" ht="18.35" customHeight="1">
      <c r="A4" s="33"/>
      <c r="B4" s="34"/>
      <c r="C4" s="40"/>
      <c r="D4" s="12"/>
    </row>
    <row r="5" ht="42.4" customHeight="1">
      <c r="A5" t="s" s="36">
        <v>259</v>
      </c>
      <c r="B5" t="s" s="37">
        <v>260</v>
      </c>
      <c r="C5" s="38" cm="1">
        <f t="array" ref="C5">_xlfn.SUMIFS('Bewegungen'!$F$2:$F$151,'Bewegungen'!$C$2:$C$151,"Lager",'Bewegungen'!D2:D151,"2025")</f>
        <v>831.9</v>
      </c>
      <c r="D5" s="39"/>
    </row>
    <row r="6" ht="18.35" customHeight="1">
      <c r="A6" s="33"/>
      <c r="B6" s="34"/>
      <c r="C6" s="40"/>
      <c r="D6" s="12"/>
    </row>
    <row r="7" ht="42.4" customHeight="1">
      <c r="A7" t="s" s="36">
        <v>261</v>
      </c>
      <c r="B7" t="s" s="37">
        <v>262</v>
      </c>
      <c r="C7" s="38" cm="1">
        <f t="array" ref="C7">COUNTIF('Bewegungen'!$A$2:$H$151,"Offen")</f>
        <v>51</v>
      </c>
      <c r="D7" s="39"/>
    </row>
    <row r="8" ht="18.35" customHeight="1">
      <c r="A8" s="33"/>
      <c r="B8" s="34"/>
      <c r="C8" s="40"/>
      <c r="D8" s="12"/>
    </row>
    <row r="9" ht="42.4" customHeight="1">
      <c r="A9" t="s" s="36">
        <v>263</v>
      </c>
      <c r="B9" t="s" s="37">
        <v>264</v>
      </c>
      <c r="C9" s="38" cm="1">
        <f t="array" ref="C9">_xlfn.COUNTIFS('Bewegungen'!$E$2:$E$151,"Offen",'Bewegungen'!$C$2:$C$151,"Versand")</f>
        <v>17</v>
      </c>
      <c r="D9" s="39"/>
    </row>
    <row r="10" ht="18.35" customHeight="1">
      <c r="A10" s="33"/>
      <c r="B10" s="34"/>
      <c r="C10" s="40"/>
      <c r="D10" s="12"/>
    </row>
    <row r="11" ht="42.4" customHeight="1">
      <c r="A11" t="s" s="36">
        <v>265</v>
      </c>
      <c r="B11" t="s" s="37">
        <v>266</v>
      </c>
      <c r="C11" s="38" cm="1">
        <f t="array" ref="C11">_xlfn.AVERAGEIF('Bewegungen'!$C$2:$C$151,"Wartung",'Bewegungen'!$F$2:$F$151)</f>
        <v>100.733333333333</v>
      </c>
      <c r="D11" s="39"/>
    </row>
    <row r="12" ht="18.35" customHeight="1">
      <c r="A12" s="33"/>
      <c r="B12" s="34"/>
      <c r="C12" s="40"/>
      <c r="D12" s="12"/>
    </row>
    <row r="13" ht="42.4" customHeight="1">
      <c r="A13" t="s" s="36">
        <v>267</v>
      </c>
      <c r="B13" t="s" s="37">
        <v>268</v>
      </c>
      <c r="C13" s="38" cm="1">
        <f t="array" ref="C13">_xlfn.COUNTIFS('Bewegungen'!$C$2:$C$151,"Produktion",'Bewegungen'!$D$2:$D$151,"2024")</f>
        <v>7</v>
      </c>
      <c r="D13" s="39"/>
    </row>
    <row r="14" ht="18.35" customHeight="1">
      <c r="A14" s="33"/>
      <c r="B14" s="34"/>
      <c r="C14" s="40"/>
      <c r="D14" s="12"/>
    </row>
    <row r="15" ht="42.4" customHeight="1">
      <c r="A15" t="s" s="36">
        <v>269</v>
      </c>
      <c r="B15" t="s" s="37">
        <v>270</v>
      </c>
      <c r="C15" s="38" cm="1">
        <f t="array" ref="C15">SUMIF('Bewegungen'!$H$2:$H$151,"Reinigung",'Bewegungen'!$G$2:$G$151)</f>
        <v>946</v>
      </c>
      <c r="D15" s="39"/>
    </row>
    <row r="16" ht="18.35" customHeight="1">
      <c r="A16" s="33"/>
      <c r="B16" s="34"/>
      <c r="C16" s="40"/>
      <c r="D16" s="12"/>
    </row>
    <row r="17" ht="42.4" customHeight="1">
      <c r="A17" t="s" s="36">
        <v>271</v>
      </c>
      <c r="B17" t="s" s="37">
        <v>272</v>
      </c>
      <c r="C17" s="38">
        <v>1137.3</v>
      </c>
      <c r="D17" s="39"/>
    </row>
    <row r="18" ht="18.35" customHeight="1">
      <c r="A18" s="33"/>
      <c r="B18" s="34"/>
      <c r="C18" s="41"/>
      <c r="D18" s="12"/>
    </row>
    <row r="19" ht="18.35" customHeight="1">
      <c r="A19" s="33"/>
      <c r="B19" s="34"/>
      <c r="C19" s="34"/>
      <c r="D19" s="12"/>
    </row>
    <row r="20" ht="14.6" customHeight="1">
      <c r="A20" s="33"/>
      <c r="B20" s="34"/>
      <c r="C20" s="34"/>
      <c r="D20" s="12"/>
    </row>
    <row r="21" ht="13.55" customHeight="1">
      <c r="A21" s="42"/>
      <c r="B21" s="42"/>
      <c r="C21" s="43"/>
      <c r="D21" s="43"/>
    </row>
    <row r="22" ht="14.65" customHeight="1">
      <c r="A22" s="44"/>
      <c r="B22" s="42"/>
      <c r="C22" s="43"/>
      <c r="D22" s="43"/>
    </row>
    <row r="23" ht="13.55" customHeight="1">
      <c r="A23" s="42"/>
      <c r="B23" s="42"/>
      <c r="C23" s="43"/>
      <c r="D23" s="43"/>
    </row>
    <row r="24" ht="13.55" customHeight="1">
      <c r="A24" s="42"/>
      <c r="B24" s="42"/>
      <c r="C24" s="43"/>
      <c r="D24" s="43"/>
    </row>
    <row r="25" ht="13.55" customHeight="1">
      <c r="A25" s="43"/>
      <c r="B25" s="43"/>
      <c r="C25" s="43"/>
      <c r="D25" s="43"/>
    </row>
  </sheetData>
  <mergeCells count="1">
    <mergeCell ref="A1:C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I180"/>
  <sheetViews>
    <sheetView workbookViewId="0" showGridLines="0" defaultGridColor="1"/>
  </sheetViews>
  <sheetFormatPr defaultColWidth="8.66667" defaultRowHeight="15" customHeight="1" outlineLevelRow="0" outlineLevelCol="0"/>
  <cols>
    <col min="1" max="1" width="4" style="45" customWidth="1"/>
    <col min="2" max="2" width="60" style="45" customWidth="1"/>
    <col min="3" max="3" width="20" style="45" customWidth="1"/>
    <col min="4" max="4" width="55" style="45" customWidth="1"/>
    <col min="5" max="5" width="16" style="45" customWidth="1"/>
    <col min="6" max="7" width="8.67188" style="45" customWidth="1"/>
    <col min="8" max="8" width="12" style="45" customWidth="1"/>
    <col min="9" max="9" width="22" style="45" customWidth="1"/>
    <col min="10" max="16384" width="8.67188" style="45" customWidth="1"/>
  </cols>
  <sheetData>
    <row r="1" ht="17.9" customHeight="1">
      <c r="A1" t="s" s="46">
        <v>274</v>
      </c>
      <c r="B1" s="47"/>
      <c r="C1" s="47"/>
      <c r="D1" s="47"/>
      <c r="E1" s="47"/>
      <c r="F1" s="8"/>
      <c r="G1" s="8"/>
      <c r="H1" s="31"/>
      <c r="I1" s="48"/>
    </row>
    <row r="2" ht="13.55" customHeight="1">
      <c r="A2" t="s" s="49">
        <v>275</v>
      </c>
      <c r="B2" t="s" s="49">
        <v>276</v>
      </c>
      <c r="C2" t="s" s="49">
        <v>277</v>
      </c>
      <c r="D2" t="s" s="49">
        <v>278</v>
      </c>
      <c r="E2" t="s" s="49">
        <v>279</v>
      </c>
      <c r="F2" s="22"/>
      <c r="G2" s="11"/>
      <c r="H2" s="50"/>
      <c r="I2" s="51"/>
    </row>
    <row r="3" ht="48" customHeight="1">
      <c r="A3" s="52">
        <v>1</v>
      </c>
      <c r="B3" t="s" s="53">
        <v>257</v>
      </c>
      <c r="C3" t="s" s="54">
        <v>280</v>
      </c>
      <c r="D3" t="s" s="55">
        <v>281</v>
      </c>
      <c r="E3" s="56" cm="1">
        <f t="array" ref="E3">SUMIF('Bewegungen'!C2:C151,"Lager",'Bewegungen'!F2:F151)</f>
        <v>2412.5</v>
      </c>
      <c r="F3" s="22"/>
      <c r="G3" s="11"/>
      <c r="H3" s="50"/>
      <c r="I3" s="51"/>
    </row>
    <row r="4" ht="48" customHeight="1">
      <c r="A4" s="13">
        <v>2</v>
      </c>
      <c r="B4" t="s" s="57">
        <v>259</v>
      </c>
      <c r="C4" t="s" s="58">
        <v>282</v>
      </c>
      <c r="D4" t="s" s="59">
        <v>283</v>
      </c>
      <c r="E4" s="56" cm="1">
        <f t="array" ref="E4">_xlfn.SUMIFS('Bewegungen'!F2:F151,'Bewegungen'!C2:C151,"Lager",'Bewegungen'!D2:D151,2025)</f>
        <v>831.9</v>
      </c>
      <c r="F4" s="22"/>
      <c r="G4" s="11"/>
      <c r="H4" s="50"/>
      <c r="I4" s="51"/>
    </row>
    <row r="5" ht="48" customHeight="1">
      <c r="A5" s="13">
        <v>3</v>
      </c>
      <c r="B5" t="s" s="57">
        <v>261</v>
      </c>
      <c r="C5" t="s" s="58">
        <v>284</v>
      </c>
      <c r="D5" t="s" s="59">
        <v>285</v>
      </c>
      <c r="E5" s="56" cm="1">
        <f t="array" ref="E5">COUNTIF('Bewegungen'!E2:E151,"Offen")</f>
        <v>51</v>
      </c>
      <c r="F5" s="22"/>
      <c r="G5" s="11"/>
      <c r="H5" s="50"/>
      <c r="I5" s="51"/>
    </row>
    <row r="6" ht="48" customHeight="1">
      <c r="A6" s="13">
        <v>4</v>
      </c>
      <c r="B6" t="s" s="57">
        <v>263</v>
      </c>
      <c r="C6" t="s" s="58">
        <v>286</v>
      </c>
      <c r="D6" t="s" s="59">
        <v>287</v>
      </c>
      <c r="E6" s="56" cm="1">
        <f t="array" ref="E6">_xlfn.COUNTIFS('Bewegungen'!C2:C151,"Versand",'Bewegungen'!E2:E151,"Offen")</f>
        <v>17</v>
      </c>
      <c r="F6" s="22"/>
      <c r="G6" s="11"/>
      <c r="H6" s="50"/>
      <c r="I6" s="51"/>
    </row>
    <row r="7" ht="48" customHeight="1">
      <c r="A7" s="13">
        <v>5</v>
      </c>
      <c r="B7" t="s" s="57">
        <v>265</v>
      </c>
      <c r="C7" t="s" s="58">
        <v>288</v>
      </c>
      <c r="D7" t="s" s="59">
        <v>289</v>
      </c>
      <c r="E7" s="56" cm="1">
        <f t="array" ref="E7">_xlfn.AVERAGEIF('Bewegungen'!C2:C151,"Wartung",'Bewegungen'!F2:F151)</f>
        <v>100.733333333333</v>
      </c>
      <c r="F7" s="22"/>
      <c r="G7" s="11"/>
      <c r="H7" s="50"/>
      <c r="I7" s="51"/>
    </row>
    <row r="8" ht="48" customHeight="1">
      <c r="A8" s="13">
        <v>6</v>
      </c>
      <c r="B8" t="s" s="57">
        <v>267</v>
      </c>
      <c r="C8" t="s" s="58">
        <v>290</v>
      </c>
      <c r="D8" t="s" s="59">
        <v>291</v>
      </c>
      <c r="E8" s="56" cm="1">
        <f t="array" ref="E8">_xlfn.AVERAGEIFS('Bewegungen'!F2:F151,'Bewegungen'!C2:C151,"Produktion",'Bewegungen'!D2:D151,2024)</f>
        <v>122.314285714286</v>
      </c>
      <c r="F8" s="22"/>
      <c r="G8" s="11"/>
      <c r="H8" s="50"/>
      <c r="I8" s="51"/>
    </row>
    <row r="9" ht="48" customHeight="1">
      <c r="A9" s="13">
        <v>7</v>
      </c>
      <c r="B9" t="s" s="57">
        <v>269</v>
      </c>
      <c r="C9" t="s" s="58">
        <v>292</v>
      </c>
      <c r="D9" t="s" s="59">
        <v>293</v>
      </c>
      <c r="E9" s="56" cm="1">
        <f t="array" ref="E9">SUMIF(I31:I180,"Reinigung",'Bewegungen'!G2:G151)</f>
        <v>946</v>
      </c>
      <c r="F9" s="22"/>
      <c r="G9" s="11"/>
      <c r="H9" s="50"/>
      <c r="I9" s="51"/>
    </row>
    <row r="10" ht="48" customHeight="1">
      <c r="A10" s="13">
        <v>8</v>
      </c>
      <c r="B10" t="s" s="57">
        <v>271</v>
      </c>
      <c r="C10" t="s" s="58">
        <v>294</v>
      </c>
      <c r="D10" t="s" s="59">
        <v>295</v>
      </c>
      <c r="E10" s="56">
        <v>1137.3</v>
      </c>
      <c r="F10" s="22"/>
      <c r="G10" s="11"/>
      <c r="H10" s="50"/>
      <c r="I10" s="51"/>
    </row>
    <row r="11" ht="13.55" customHeight="1">
      <c r="A11" s="60"/>
      <c r="B11" s="50"/>
      <c r="C11" s="50"/>
      <c r="D11" s="50"/>
      <c r="E11" s="61"/>
      <c r="F11" s="11"/>
      <c r="G11" s="11"/>
      <c r="H11" s="50"/>
      <c r="I11" s="51"/>
    </row>
    <row r="12" ht="13.55" customHeight="1">
      <c r="A12" s="60"/>
      <c r="B12" s="50"/>
      <c r="C12" s="50"/>
      <c r="D12" s="50"/>
      <c r="E12" s="50"/>
      <c r="F12" s="11"/>
      <c r="G12" s="11"/>
      <c r="H12" s="50"/>
      <c r="I12" s="51"/>
    </row>
    <row r="13" ht="13.55" customHeight="1">
      <c r="A13" s="60"/>
      <c r="B13" s="50"/>
      <c r="C13" s="50"/>
      <c r="D13" s="50"/>
      <c r="E13" s="50"/>
      <c r="F13" s="11"/>
      <c r="G13" s="11"/>
      <c r="H13" s="50"/>
      <c r="I13" s="51"/>
    </row>
    <row r="14" ht="13.55" customHeight="1">
      <c r="A14" s="60"/>
      <c r="B14" s="50"/>
      <c r="C14" s="50"/>
      <c r="D14" s="50"/>
      <c r="E14" s="50"/>
      <c r="F14" s="11"/>
      <c r="G14" s="11"/>
      <c r="H14" s="50"/>
      <c r="I14" s="51"/>
    </row>
    <row r="15" ht="13.55" customHeight="1">
      <c r="A15" s="60"/>
      <c r="B15" s="50"/>
      <c r="C15" s="50"/>
      <c r="D15" s="50"/>
      <c r="E15" s="50"/>
      <c r="F15" s="11"/>
      <c r="G15" s="11"/>
      <c r="H15" s="50"/>
      <c r="I15" s="51"/>
    </row>
    <row r="16" ht="13.55" customHeight="1">
      <c r="A16" s="60"/>
      <c r="B16" s="50"/>
      <c r="C16" s="50"/>
      <c r="D16" s="50"/>
      <c r="E16" s="50"/>
      <c r="F16" s="11"/>
      <c r="G16" s="11"/>
      <c r="H16" s="50"/>
      <c r="I16" s="51"/>
    </row>
    <row r="17" ht="13.55" customHeight="1">
      <c r="A17" s="60"/>
      <c r="B17" s="50"/>
      <c r="C17" s="50"/>
      <c r="D17" s="50"/>
      <c r="E17" s="50"/>
      <c r="F17" s="11"/>
      <c r="G17" s="11"/>
      <c r="H17" s="50"/>
      <c r="I17" s="51"/>
    </row>
    <row r="18" ht="13.55" customHeight="1">
      <c r="A18" s="60"/>
      <c r="B18" s="50"/>
      <c r="C18" s="50"/>
      <c r="D18" s="50"/>
      <c r="E18" s="50"/>
      <c r="F18" s="11"/>
      <c r="G18" s="11"/>
      <c r="H18" s="50"/>
      <c r="I18" s="51"/>
    </row>
    <row r="19" ht="13.55" customHeight="1">
      <c r="A19" s="60"/>
      <c r="B19" s="50"/>
      <c r="C19" s="50"/>
      <c r="D19" s="50"/>
      <c r="E19" s="50"/>
      <c r="F19" s="11"/>
      <c r="G19" s="11"/>
      <c r="H19" s="50"/>
      <c r="I19" s="51"/>
    </row>
    <row r="20" ht="13.55" customHeight="1">
      <c r="A20" s="60"/>
      <c r="B20" s="50"/>
      <c r="C20" s="50"/>
      <c r="D20" s="50"/>
      <c r="E20" s="50"/>
      <c r="F20" s="11"/>
      <c r="G20" s="11"/>
      <c r="H20" s="50"/>
      <c r="I20" s="51"/>
    </row>
    <row r="21" ht="13.55" customHeight="1">
      <c r="A21" s="60"/>
      <c r="B21" s="50"/>
      <c r="C21" s="50"/>
      <c r="D21" s="50"/>
      <c r="E21" s="50"/>
      <c r="F21" s="11"/>
      <c r="G21" s="11"/>
      <c r="H21" s="50"/>
      <c r="I21" s="51"/>
    </row>
    <row r="22" ht="13.55" customHeight="1">
      <c r="A22" s="60"/>
      <c r="B22" s="50"/>
      <c r="C22" s="50"/>
      <c r="D22" s="50"/>
      <c r="E22" s="50"/>
      <c r="F22" s="11"/>
      <c r="G22" s="11"/>
      <c r="H22" s="50"/>
      <c r="I22" s="51"/>
    </row>
    <row r="23" ht="13.55" customHeight="1">
      <c r="A23" s="60"/>
      <c r="B23" s="50"/>
      <c r="C23" s="50"/>
      <c r="D23" s="50"/>
      <c r="E23" s="50"/>
      <c r="F23" s="11"/>
      <c r="G23" s="11"/>
      <c r="H23" s="50"/>
      <c r="I23" s="51"/>
    </row>
    <row r="24" ht="13.55" customHeight="1">
      <c r="A24" s="60"/>
      <c r="B24" s="50"/>
      <c r="C24" s="50"/>
      <c r="D24" s="50"/>
      <c r="E24" s="50"/>
      <c r="F24" s="11"/>
      <c r="G24" s="11"/>
      <c r="H24" s="50"/>
      <c r="I24" s="51"/>
    </row>
    <row r="25" ht="13.55" customHeight="1">
      <c r="A25" s="60"/>
      <c r="B25" s="50"/>
      <c r="C25" s="50"/>
      <c r="D25" s="50"/>
      <c r="E25" s="50"/>
      <c r="F25" s="11"/>
      <c r="G25" s="11"/>
      <c r="H25" s="50"/>
      <c r="I25" s="51"/>
    </row>
    <row r="26" ht="13.55" customHeight="1">
      <c r="A26" s="60"/>
      <c r="B26" s="50"/>
      <c r="C26" s="50"/>
      <c r="D26" s="50"/>
      <c r="E26" s="50"/>
      <c r="F26" s="11"/>
      <c r="G26" s="11"/>
      <c r="H26" s="50"/>
      <c r="I26" s="51"/>
    </row>
    <row r="27" ht="13.55" customHeight="1">
      <c r="A27" s="60"/>
      <c r="B27" s="50"/>
      <c r="C27" s="50"/>
      <c r="D27" s="50"/>
      <c r="E27" s="50"/>
      <c r="F27" s="11"/>
      <c r="G27" s="11"/>
      <c r="H27" s="50"/>
      <c r="I27" s="51"/>
    </row>
    <row r="28" ht="13.55" customHeight="1">
      <c r="A28" s="60"/>
      <c r="B28" s="50"/>
      <c r="C28" s="50"/>
      <c r="D28" s="50"/>
      <c r="E28" s="50"/>
      <c r="F28" s="11"/>
      <c r="G28" s="11"/>
      <c r="H28" s="50"/>
      <c r="I28" s="51"/>
    </row>
    <row r="29" ht="13.75" customHeight="1">
      <c r="A29" s="60"/>
      <c r="B29" s="50"/>
      <c r="C29" s="50"/>
      <c r="D29" s="50"/>
      <c r="E29" s="50"/>
      <c r="F29" s="11"/>
      <c r="G29" s="11"/>
      <c r="H29" t="s" s="58">
        <v>296</v>
      </c>
      <c r="I29" s="51"/>
    </row>
    <row r="30" ht="13.55" customHeight="1">
      <c r="A30" s="60"/>
      <c r="B30" s="50"/>
      <c r="C30" s="50"/>
      <c r="D30" s="50"/>
      <c r="E30" s="50"/>
      <c r="F30" s="11"/>
      <c r="G30" s="11"/>
      <c r="H30" t="s" s="62">
        <v>20</v>
      </c>
      <c r="I30" t="s" s="63">
        <v>297</v>
      </c>
    </row>
    <row r="31" ht="18.5" customHeight="1">
      <c r="A31" s="60"/>
      <c r="B31" s="50"/>
      <c r="C31" s="50"/>
      <c r="D31" s="50"/>
      <c r="E31" s="50"/>
      <c r="F31" s="11"/>
      <c r="G31" s="11"/>
      <c r="H31" t="str" s="50" cm="1">
        <f t="array" ref="H31">'Bewegungen'!B2</f>
        <v>A021</v>
      </c>
      <c r="I31" t="str" s="51" cm="1">
        <f t="array" ref="I31">VLOOKUP(H31,'Stammdaten'!$A$2:$C$31,3,FALSE())</f>
        <v>Wartung</v>
      </c>
    </row>
    <row r="32" ht="18.5" customHeight="1">
      <c r="A32" s="60"/>
      <c r="B32" s="50"/>
      <c r="C32" s="50"/>
      <c r="D32" s="50"/>
      <c r="E32" s="50"/>
      <c r="F32" s="11"/>
      <c r="G32" s="11"/>
      <c r="H32" t="str" s="50" cm="1">
        <f t="array" ref="H32">'Bewegungen'!B3</f>
        <v>A024</v>
      </c>
      <c r="I32" t="str" s="51" cm="1">
        <f t="array" ref="I32">VLOOKUP(H32,'Stammdaten'!$A$2:$C$31,3,FALSE())</f>
        <v>Wartung</v>
      </c>
    </row>
    <row r="33" ht="18.5" customHeight="1">
      <c r="A33" s="60"/>
      <c r="B33" s="50"/>
      <c r="C33" s="50"/>
      <c r="D33" s="50"/>
      <c r="E33" s="50"/>
      <c r="F33" s="11"/>
      <c r="G33" s="11"/>
      <c r="H33" t="str" s="50" cm="1">
        <f t="array" ref="H33">'Bewegungen'!B4</f>
        <v>A014</v>
      </c>
      <c r="I33" t="str" s="51" cm="1">
        <f t="array" ref="I33">VLOOKUP(H33,'Stammdaten'!$A$2:$C$31,3,FALSE())</f>
        <v>Reinigung</v>
      </c>
    </row>
    <row r="34" ht="18.5" customHeight="1">
      <c r="A34" s="60"/>
      <c r="B34" s="50"/>
      <c r="C34" s="50"/>
      <c r="D34" s="50"/>
      <c r="E34" s="50"/>
      <c r="F34" s="11"/>
      <c r="G34" s="11"/>
      <c r="H34" t="str" s="50" cm="1">
        <f t="array" ref="H34">'Bewegungen'!B5</f>
        <v>A001</v>
      </c>
      <c r="I34" t="str" s="51" cm="1">
        <f t="array" ref="I34">VLOOKUP(H34,'Stammdaten'!$A$2:$C$31,3,FALSE())</f>
        <v>Lager</v>
      </c>
    </row>
    <row r="35" ht="18.5" customHeight="1">
      <c r="A35" s="60"/>
      <c r="B35" s="50"/>
      <c r="C35" s="50"/>
      <c r="D35" s="50"/>
      <c r="E35" s="50"/>
      <c r="F35" s="11"/>
      <c r="G35" s="11"/>
      <c r="H35" t="str" s="50" cm="1">
        <f t="array" ref="H35">'Bewegungen'!B6</f>
        <v>A008</v>
      </c>
      <c r="I35" t="str" s="51" cm="1">
        <f t="array" ref="I35">VLOOKUP(H35,'Stammdaten'!$A$2:$C$31,3,FALSE())</f>
        <v>Versand</v>
      </c>
    </row>
    <row r="36" ht="18.5" customHeight="1">
      <c r="A36" s="60"/>
      <c r="B36" s="50"/>
      <c r="C36" s="50"/>
      <c r="D36" s="50"/>
      <c r="E36" s="50"/>
      <c r="F36" s="11"/>
      <c r="G36" s="11"/>
      <c r="H36" t="str" s="50" cm="1">
        <f t="array" ref="H36">'Bewegungen'!B7</f>
        <v>A026</v>
      </c>
      <c r="I36" t="str" s="51" cm="1">
        <f t="array" ref="I36">VLOOKUP(H36,'Stammdaten'!$A$2:$C$31,3,FALSE())</f>
        <v>Produktion</v>
      </c>
    </row>
    <row r="37" ht="18.5" customHeight="1">
      <c r="A37" s="60"/>
      <c r="B37" s="50"/>
      <c r="C37" s="50"/>
      <c r="D37" s="50"/>
      <c r="E37" s="50"/>
      <c r="F37" s="11"/>
      <c r="G37" s="11"/>
      <c r="H37" t="str" s="50" cm="1">
        <f t="array" ref="H37">'Bewegungen'!B8</f>
        <v>A025</v>
      </c>
      <c r="I37" t="str" s="51" cm="1">
        <f t="array" ref="I37">VLOOKUP(H37,'Stammdaten'!$A$2:$C$31,3,FALSE())</f>
        <v>Produktion</v>
      </c>
    </row>
    <row r="38" ht="18.5" customHeight="1">
      <c r="A38" s="60"/>
      <c r="B38" s="50"/>
      <c r="C38" s="50"/>
      <c r="D38" s="50"/>
      <c r="E38" s="50"/>
      <c r="F38" s="11"/>
      <c r="G38" s="11"/>
      <c r="H38" t="str" s="50" cm="1">
        <f t="array" ref="H38">'Bewegungen'!B9</f>
        <v>A020</v>
      </c>
      <c r="I38" t="str" s="51" cm="1">
        <f t="array" ref="I38">VLOOKUP(H38,'Stammdaten'!$A$2:$C$31,3,FALSE())</f>
        <v>Wartung</v>
      </c>
    </row>
    <row r="39" ht="18.5" customHeight="1">
      <c r="A39" s="60"/>
      <c r="B39" s="50"/>
      <c r="C39" s="50"/>
      <c r="D39" s="50"/>
      <c r="E39" s="50"/>
      <c r="F39" s="11"/>
      <c r="G39" s="11"/>
      <c r="H39" t="str" s="50" cm="1">
        <f t="array" ref="H39">'Bewegungen'!B10</f>
        <v>A003</v>
      </c>
      <c r="I39" t="str" s="51" cm="1">
        <f t="array" ref="I39">VLOOKUP(H39,'Stammdaten'!$A$2:$C$31,3,FALSE())</f>
        <v>Lager</v>
      </c>
    </row>
    <row r="40" ht="18.5" customHeight="1">
      <c r="A40" s="60"/>
      <c r="B40" s="50"/>
      <c r="C40" s="50"/>
      <c r="D40" s="50"/>
      <c r="E40" s="50"/>
      <c r="F40" s="11"/>
      <c r="G40" s="11"/>
      <c r="H40" t="str" s="50" cm="1">
        <f t="array" ref="H40">'Bewegungen'!B11</f>
        <v>A019</v>
      </c>
      <c r="I40" t="str" s="51" cm="1">
        <f t="array" ref="I40">VLOOKUP(H40,'Stammdaten'!$A$2:$C$31,3,FALSE())</f>
        <v>Wartung</v>
      </c>
    </row>
    <row r="41" ht="18.5" customHeight="1">
      <c r="A41" s="60"/>
      <c r="B41" s="50"/>
      <c r="C41" s="50"/>
      <c r="D41" s="50"/>
      <c r="E41" s="50"/>
      <c r="F41" s="11"/>
      <c r="G41" s="11"/>
      <c r="H41" t="str" s="50" cm="1">
        <f t="array" ref="H41">'Bewegungen'!B12</f>
        <v>A010</v>
      </c>
      <c r="I41" t="str" s="51" cm="1">
        <f t="array" ref="I41">VLOOKUP(H41,'Stammdaten'!$A$2:$C$31,3,FALSE())</f>
        <v>Versand</v>
      </c>
    </row>
    <row r="42" ht="18.5" customHeight="1">
      <c r="A42" s="60"/>
      <c r="B42" s="50"/>
      <c r="C42" s="50"/>
      <c r="D42" s="50"/>
      <c r="E42" s="50"/>
      <c r="F42" s="11"/>
      <c r="G42" s="11"/>
      <c r="H42" t="str" s="50" cm="1">
        <f t="array" ref="H42">'Bewegungen'!B13</f>
        <v>A021</v>
      </c>
      <c r="I42" t="str" s="51" cm="1">
        <f t="array" ref="I42">VLOOKUP(H42,'Stammdaten'!$A$2:$C$31,3,FALSE())</f>
        <v>Wartung</v>
      </c>
    </row>
    <row r="43" ht="18.5" customHeight="1">
      <c r="A43" s="60"/>
      <c r="B43" s="50"/>
      <c r="C43" s="50"/>
      <c r="D43" s="50"/>
      <c r="E43" s="50"/>
      <c r="F43" s="11"/>
      <c r="G43" s="11"/>
      <c r="H43" t="str" s="50" cm="1">
        <f t="array" ref="H43">'Bewegungen'!B14</f>
        <v>A023</v>
      </c>
      <c r="I43" t="str" s="51" cm="1">
        <f t="array" ref="I43">VLOOKUP(H43,'Stammdaten'!$A$2:$C$31,3,FALSE())</f>
        <v>Wartung</v>
      </c>
    </row>
    <row r="44" ht="18.5" customHeight="1">
      <c r="A44" s="60"/>
      <c r="B44" s="50"/>
      <c r="C44" s="50"/>
      <c r="D44" s="50"/>
      <c r="E44" s="50"/>
      <c r="F44" s="11"/>
      <c r="G44" s="11"/>
      <c r="H44" t="str" s="50" cm="1">
        <f t="array" ref="H44">'Bewegungen'!B15</f>
        <v>A006</v>
      </c>
      <c r="I44" t="str" s="51" cm="1">
        <f t="array" ref="I44">VLOOKUP(H44,'Stammdaten'!$A$2:$C$31,3,FALSE())</f>
        <v>Lager</v>
      </c>
    </row>
    <row r="45" ht="18.5" customHeight="1">
      <c r="A45" s="60"/>
      <c r="B45" s="50"/>
      <c r="C45" s="50"/>
      <c r="D45" s="50"/>
      <c r="E45" s="50"/>
      <c r="F45" s="11"/>
      <c r="G45" s="11"/>
      <c r="H45" t="str" s="50" cm="1">
        <f t="array" ref="H45">'Bewegungen'!B16</f>
        <v>A018</v>
      </c>
      <c r="I45" t="str" s="51" cm="1">
        <f t="array" ref="I45">VLOOKUP(H45,'Stammdaten'!$A$2:$C$31,3,FALSE())</f>
        <v>Reinigung</v>
      </c>
    </row>
    <row r="46" ht="18.5" customHeight="1">
      <c r="A46" s="60"/>
      <c r="B46" s="50"/>
      <c r="C46" s="50"/>
      <c r="D46" s="50"/>
      <c r="E46" s="50"/>
      <c r="F46" s="11"/>
      <c r="G46" s="11"/>
      <c r="H46" t="str" s="50" cm="1">
        <f t="array" ref="H46">'Bewegungen'!B17</f>
        <v>A008</v>
      </c>
      <c r="I46" t="str" s="51" cm="1">
        <f t="array" ref="I46">VLOOKUP(H46,'Stammdaten'!$A$2:$C$31,3,FALSE())</f>
        <v>Versand</v>
      </c>
    </row>
    <row r="47" ht="18.5" customHeight="1">
      <c r="A47" s="60"/>
      <c r="B47" s="50"/>
      <c r="C47" s="50"/>
      <c r="D47" s="50"/>
      <c r="E47" s="50"/>
      <c r="F47" s="11"/>
      <c r="G47" s="11"/>
      <c r="H47" t="str" s="50" cm="1">
        <f t="array" ref="H47">'Bewegungen'!B18</f>
        <v>A029</v>
      </c>
      <c r="I47" t="str" s="51" cm="1">
        <f t="array" ref="I47">VLOOKUP(H47,'Stammdaten'!$A$2:$C$31,3,FALSE())</f>
        <v>Produktion</v>
      </c>
    </row>
    <row r="48" ht="18.5" customHeight="1">
      <c r="A48" s="60"/>
      <c r="B48" s="50"/>
      <c r="C48" s="50"/>
      <c r="D48" s="50"/>
      <c r="E48" s="50"/>
      <c r="F48" s="11"/>
      <c r="G48" s="11"/>
      <c r="H48" t="str" s="50" cm="1">
        <f t="array" ref="H48">'Bewegungen'!B19</f>
        <v>A015</v>
      </c>
      <c r="I48" t="str" s="51" cm="1">
        <f t="array" ref="I48">VLOOKUP(H48,'Stammdaten'!$A$2:$C$31,3,FALSE())</f>
        <v>Reinigung</v>
      </c>
    </row>
    <row r="49" ht="18.5" customHeight="1">
      <c r="A49" s="60"/>
      <c r="B49" s="50"/>
      <c r="C49" s="50"/>
      <c r="D49" s="50"/>
      <c r="E49" s="50"/>
      <c r="F49" s="11"/>
      <c r="G49" s="11"/>
      <c r="H49" t="str" s="50" cm="1">
        <f t="array" ref="H49">'Bewegungen'!B20</f>
        <v>A009</v>
      </c>
      <c r="I49" t="str" s="51" cm="1">
        <f t="array" ref="I49">VLOOKUP(H49,'Stammdaten'!$A$2:$C$31,3,FALSE())</f>
        <v>Versand</v>
      </c>
    </row>
    <row r="50" ht="18.5" customHeight="1">
      <c r="A50" s="60"/>
      <c r="B50" s="50"/>
      <c r="C50" s="50"/>
      <c r="D50" s="50"/>
      <c r="E50" s="50"/>
      <c r="F50" s="11"/>
      <c r="G50" s="11"/>
      <c r="H50" t="str" s="50" cm="1">
        <f t="array" ref="H50">'Bewegungen'!B21</f>
        <v>A005</v>
      </c>
      <c r="I50" t="str" s="51" cm="1">
        <f t="array" ref="I50">VLOOKUP(H50,'Stammdaten'!$A$2:$C$31,3,FALSE())</f>
        <v>Lager</v>
      </c>
    </row>
    <row r="51" ht="18.5" customHeight="1">
      <c r="A51" s="60"/>
      <c r="B51" s="50"/>
      <c r="C51" s="50"/>
      <c r="D51" s="50"/>
      <c r="E51" s="50"/>
      <c r="F51" s="11"/>
      <c r="G51" s="11"/>
      <c r="H51" t="str" s="50" cm="1">
        <f t="array" ref="H51">'Bewegungen'!B22</f>
        <v>A005</v>
      </c>
      <c r="I51" t="str" s="51" cm="1">
        <f t="array" ref="I51">VLOOKUP(H51,'Stammdaten'!$A$2:$C$31,3,FALSE())</f>
        <v>Lager</v>
      </c>
    </row>
    <row r="52" ht="18.5" customHeight="1">
      <c r="A52" s="60"/>
      <c r="B52" s="50"/>
      <c r="C52" s="50"/>
      <c r="D52" s="50"/>
      <c r="E52" s="50"/>
      <c r="F52" s="11"/>
      <c r="G52" s="11"/>
      <c r="H52" t="str" s="50" cm="1">
        <f t="array" ref="H52">'Bewegungen'!B23</f>
        <v>A020</v>
      </c>
      <c r="I52" t="str" s="51" cm="1">
        <f t="array" ref="I52">VLOOKUP(H52,'Stammdaten'!$A$2:$C$31,3,FALSE())</f>
        <v>Wartung</v>
      </c>
    </row>
    <row r="53" ht="18.5" customHeight="1">
      <c r="A53" s="60"/>
      <c r="B53" s="50"/>
      <c r="C53" s="50"/>
      <c r="D53" s="50"/>
      <c r="E53" s="50"/>
      <c r="F53" s="11"/>
      <c r="G53" s="11"/>
      <c r="H53" t="str" s="50" cm="1">
        <f t="array" ref="H53">'Bewegungen'!B24</f>
        <v>A022</v>
      </c>
      <c r="I53" t="str" s="51" cm="1">
        <f t="array" ref="I53">VLOOKUP(H53,'Stammdaten'!$A$2:$C$31,3,FALSE())</f>
        <v>Wartung</v>
      </c>
    </row>
    <row r="54" ht="18.5" customHeight="1">
      <c r="A54" s="60"/>
      <c r="B54" s="50"/>
      <c r="C54" s="50"/>
      <c r="D54" s="50"/>
      <c r="E54" s="50"/>
      <c r="F54" s="11"/>
      <c r="G54" s="11"/>
      <c r="H54" t="str" s="50" cm="1">
        <f t="array" ref="H54">'Bewegungen'!B25</f>
        <v>A021</v>
      </c>
      <c r="I54" t="str" s="51" cm="1">
        <f t="array" ref="I54">VLOOKUP(H54,'Stammdaten'!$A$2:$C$31,3,FALSE())</f>
        <v>Wartung</v>
      </c>
    </row>
    <row r="55" ht="18.5" customHeight="1">
      <c r="A55" s="60"/>
      <c r="B55" s="50"/>
      <c r="C55" s="50"/>
      <c r="D55" s="50"/>
      <c r="E55" s="50"/>
      <c r="F55" s="11"/>
      <c r="G55" s="11"/>
      <c r="H55" t="str" s="50" cm="1">
        <f t="array" ref="H55">'Bewegungen'!B26</f>
        <v>A024</v>
      </c>
      <c r="I55" t="str" s="51" cm="1">
        <f t="array" ref="I55">VLOOKUP(H55,'Stammdaten'!$A$2:$C$31,3,FALSE())</f>
        <v>Wartung</v>
      </c>
    </row>
    <row r="56" ht="18.5" customHeight="1">
      <c r="A56" s="60"/>
      <c r="B56" s="50"/>
      <c r="C56" s="50"/>
      <c r="D56" s="50"/>
      <c r="E56" s="50"/>
      <c r="F56" s="11"/>
      <c r="G56" s="11"/>
      <c r="H56" t="str" s="50" cm="1">
        <f t="array" ref="H56">'Bewegungen'!B27</f>
        <v>A028</v>
      </c>
      <c r="I56" t="str" s="51" cm="1">
        <f t="array" ref="I56">VLOOKUP(H56,'Stammdaten'!$A$2:$C$31,3,FALSE())</f>
        <v>Produktion</v>
      </c>
    </row>
    <row r="57" ht="18.5" customHeight="1">
      <c r="A57" s="60"/>
      <c r="B57" s="50"/>
      <c r="C57" s="50"/>
      <c r="D57" s="50"/>
      <c r="E57" s="50"/>
      <c r="F57" s="11"/>
      <c r="G57" s="11"/>
      <c r="H57" t="str" s="50" cm="1">
        <f t="array" ref="H57">'Bewegungen'!B28</f>
        <v>A025</v>
      </c>
      <c r="I57" t="str" s="51" cm="1">
        <f t="array" ref="I57">VLOOKUP(H57,'Stammdaten'!$A$2:$C$31,3,FALSE())</f>
        <v>Produktion</v>
      </c>
    </row>
    <row r="58" ht="18.5" customHeight="1">
      <c r="A58" s="60"/>
      <c r="B58" s="50"/>
      <c r="C58" s="50"/>
      <c r="D58" s="50"/>
      <c r="E58" s="50"/>
      <c r="F58" s="11"/>
      <c r="G58" s="11"/>
      <c r="H58" t="str" s="50" cm="1">
        <f t="array" ref="H58">'Bewegungen'!B29</f>
        <v>A020</v>
      </c>
      <c r="I58" t="str" s="51" cm="1">
        <f t="array" ref="I58">VLOOKUP(H58,'Stammdaten'!$A$2:$C$31,3,FALSE())</f>
        <v>Wartung</v>
      </c>
    </row>
    <row r="59" ht="18.5" customHeight="1">
      <c r="A59" s="60"/>
      <c r="B59" s="50"/>
      <c r="C59" s="50"/>
      <c r="D59" s="50"/>
      <c r="E59" s="50"/>
      <c r="F59" s="11"/>
      <c r="G59" s="11"/>
      <c r="H59" t="str" s="50" cm="1">
        <f t="array" ref="H59">'Bewegungen'!B30</f>
        <v>A008</v>
      </c>
      <c r="I59" t="str" s="51" cm="1">
        <f t="array" ref="I59">VLOOKUP(H59,'Stammdaten'!$A$2:$C$31,3,FALSE())</f>
        <v>Versand</v>
      </c>
    </row>
    <row r="60" ht="18.5" customHeight="1">
      <c r="A60" s="60"/>
      <c r="B60" s="50"/>
      <c r="C60" s="50"/>
      <c r="D60" s="50"/>
      <c r="E60" s="50"/>
      <c r="F60" s="11"/>
      <c r="G60" s="11"/>
      <c r="H60" t="str" s="50" cm="1">
        <f t="array" ref="H60">'Bewegungen'!B31</f>
        <v>A024</v>
      </c>
      <c r="I60" t="str" s="51" cm="1">
        <f t="array" ref="I60">VLOOKUP(H60,'Stammdaten'!$A$2:$C$31,3,FALSE())</f>
        <v>Wartung</v>
      </c>
    </row>
    <row r="61" ht="18.5" customHeight="1">
      <c r="A61" s="60"/>
      <c r="B61" s="50"/>
      <c r="C61" s="50"/>
      <c r="D61" s="50"/>
      <c r="E61" s="50"/>
      <c r="F61" s="11"/>
      <c r="G61" s="11"/>
      <c r="H61" t="str" s="50" cm="1">
        <f t="array" ref="H61">'Bewegungen'!B32</f>
        <v>A005</v>
      </c>
      <c r="I61" t="str" s="51" cm="1">
        <f t="array" ref="I61">VLOOKUP(H61,'Stammdaten'!$A$2:$C$31,3,FALSE())</f>
        <v>Lager</v>
      </c>
    </row>
    <row r="62" ht="18.5" customHeight="1">
      <c r="A62" s="60"/>
      <c r="B62" s="50"/>
      <c r="C62" s="50"/>
      <c r="D62" s="50"/>
      <c r="E62" s="50"/>
      <c r="F62" s="11"/>
      <c r="G62" s="11"/>
      <c r="H62" t="str" s="50" cm="1">
        <f t="array" ref="H62">'Bewegungen'!B33</f>
        <v>A014</v>
      </c>
      <c r="I62" t="str" s="51" cm="1">
        <f t="array" ref="I62">VLOOKUP(H62,'Stammdaten'!$A$2:$C$31,3,FALSE())</f>
        <v>Reinigung</v>
      </c>
    </row>
    <row r="63" ht="18.5" customHeight="1">
      <c r="A63" s="60"/>
      <c r="B63" s="50"/>
      <c r="C63" s="50"/>
      <c r="D63" s="50"/>
      <c r="E63" s="50"/>
      <c r="F63" s="11"/>
      <c r="G63" s="11"/>
      <c r="H63" t="str" s="50" cm="1">
        <f t="array" ref="H63">'Bewegungen'!B34</f>
        <v>A010</v>
      </c>
      <c r="I63" t="str" s="51" cm="1">
        <f t="array" ref="I63">VLOOKUP(H63,'Stammdaten'!$A$2:$C$31,3,FALSE())</f>
        <v>Versand</v>
      </c>
    </row>
    <row r="64" ht="18.5" customHeight="1">
      <c r="A64" s="60"/>
      <c r="B64" s="50"/>
      <c r="C64" s="50"/>
      <c r="D64" s="50"/>
      <c r="E64" s="50"/>
      <c r="F64" s="11"/>
      <c r="G64" s="11"/>
      <c r="H64" t="str" s="50" cm="1">
        <f t="array" ref="H64">'Bewegungen'!B35</f>
        <v>A015</v>
      </c>
      <c r="I64" t="str" s="51" cm="1">
        <f t="array" ref="I64">VLOOKUP(H64,'Stammdaten'!$A$2:$C$31,3,FALSE())</f>
        <v>Reinigung</v>
      </c>
    </row>
    <row r="65" ht="18.5" customHeight="1">
      <c r="A65" s="60"/>
      <c r="B65" s="50"/>
      <c r="C65" s="50"/>
      <c r="D65" s="50"/>
      <c r="E65" s="50"/>
      <c r="F65" s="11"/>
      <c r="G65" s="11"/>
      <c r="H65" t="str" s="50" cm="1">
        <f t="array" ref="H65">'Bewegungen'!B36</f>
        <v>A018</v>
      </c>
      <c r="I65" t="str" s="51" cm="1">
        <f t="array" ref="I65">VLOOKUP(H65,'Stammdaten'!$A$2:$C$31,3,FALSE())</f>
        <v>Reinigung</v>
      </c>
    </row>
    <row r="66" ht="18.5" customHeight="1">
      <c r="A66" s="60"/>
      <c r="B66" s="50"/>
      <c r="C66" s="50"/>
      <c r="D66" s="50"/>
      <c r="E66" s="50"/>
      <c r="F66" s="11"/>
      <c r="G66" s="11"/>
      <c r="H66" t="str" s="50" cm="1">
        <f t="array" ref="H66">'Bewegungen'!B37</f>
        <v>A002</v>
      </c>
      <c r="I66" t="str" s="51" cm="1">
        <f t="array" ref="I66">VLOOKUP(H66,'Stammdaten'!$A$2:$C$31,3,FALSE())</f>
        <v>Lager</v>
      </c>
    </row>
    <row r="67" ht="18.5" customHeight="1">
      <c r="A67" s="60"/>
      <c r="B67" s="50"/>
      <c r="C67" s="50"/>
      <c r="D67" s="50"/>
      <c r="E67" s="50"/>
      <c r="F67" s="11"/>
      <c r="G67" s="11"/>
      <c r="H67" t="str" s="50" cm="1">
        <f t="array" ref="H67">'Bewegungen'!B38</f>
        <v>A017</v>
      </c>
      <c r="I67" t="str" s="51" cm="1">
        <f t="array" ref="I67">VLOOKUP(H67,'Stammdaten'!$A$2:$C$31,3,FALSE())</f>
        <v>Reinigung</v>
      </c>
    </row>
    <row r="68" ht="18.5" customHeight="1">
      <c r="A68" s="60"/>
      <c r="B68" s="50"/>
      <c r="C68" s="50"/>
      <c r="D68" s="50"/>
      <c r="E68" s="50"/>
      <c r="F68" s="11"/>
      <c r="G68" s="11"/>
      <c r="H68" t="str" s="50" cm="1">
        <f t="array" ref="H68">'Bewegungen'!B39</f>
        <v>A024</v>
      </c>
      <c r="I68" t="str" s="51" cm="1">
        <f t="array" ref="I68">VLOOKUP(H68,'Stammdaten'!$A$2:$C$31,3,FALSE())</f>
        <v>Wartung</v>
      </c>
    </row>
    <row r="69" ht="18.5" customHeight="1">
      <c r="A69" s="60"/>
      <c r="B69" s="50"/>
      <c r="C69" s="50"/>
      <c r="D69" s="50"/>
      <c r="E69" s="50"/>
      <c r="F69" s="11"/>
      <c r="G69" s="11"/>
      <c r="H69" t="str" s="50" cm="1">
        <f t="array" ref="H69">'Bewegungen'!B40</f>
        <v>A007</v>
      </c>
      <c r="I69" t="str" s="51" cm="1">
        <f t="array" ref="I69">VLOOKUP(H69,'Stammdaten'!$A$2:$C$31,3,FALSE())</f>
        <v>Versand</v>
      </c>
    </row>
    <row r="70" ht="18.5" customHeight="1">
      <c r="A70" s="60"/>
      <c r="B70" s="50"/>
      <c r="C70" s="50"/>
      <c r="D70" s="50"/>
      <c r="E70" s="50"/>
      <c r="F70" s="11"/>
      <c r="G70" s="11"/>
      <c r="H70" t="str" s="50" cm="1">
        <f t="array" ref="H70">'Bewegungen'!B41</f>
        <v>A015</v>
      </c>
      <c r="I70" t="str" s="51" cm="1">
        <f t="array" ref="I70">VLOOKUP(H70,'Stammdaten'!$A$2:$C$31,3,FALSE())</f>
        <v>Reinigung</v>
      </c>
    </row>
    <row r="71" ht="18.5" customHeight="1">
      <c r="A71" s="60"/>
      <c r="B71" s="50"/>
      <c r="C71" s="50"/>
      <c r="D71" s="50"/>
      <c r="E71" s="50"/>
      <c r="F71" s="11"/>
      <c r="G71" s="11"/>
      <c r="H71" t="str" s="50" cm="1">
        <f t="array" ref="H71">'Bewegungen'!B42</f>
        <v>A013</v>
      </c>
      <c r="I71" t="str" s="51" cm="1">
        <f t="array" ref="I71">VLOOKUP(H71,'Stammdaten'!$A$2:$C$31,3,FALSE())</f>
        <v>Reinigung</v>
      </c>
    </row>
    <row r="72" ht="18.5" customHeight="1">
      <c r="A72" s="60"/>
      <c r="B72" s="50"/>
      <c r="C72" s="50"/>
      <c r="D72" s="50"/>
      <c r="E72" s="50"/>
      <c r="F72" s="11"/>
      <c r="G72" s="11"/>
      <c r="H72" t="str" s="50" cm="1">
        <f t="array" ref="H72">'Bewegungen'!B43</f>
        <v>A005</v>
      </c>
      <c r="I72" t="str" s="51" cm="1">
        <f t="array" ref="I72">VLOOKUP(H72,'Stammdaten'!$A$2:$C$31,3,FALSE())</f>
        <v>Lager</v>
      </c>
    </row>
    <row r="73" ht="18.5" customHeight="1">
      <c r="A73" s="60"/>
      <c r="B73" s="50"/>
      <c r="C73" s="50"/>
      <c r="D73" s="50"/>
      <c r="E73" s="50"/>
      <c r="F73" s="11"/>
      <c r="G73" s="11"/>
      <c r="H73" t="str" s="50" cm="1">
        <f t="array" ref="H73">'Bewegungen'!B44</f>
        <v>A015</v>
      </c>
      <c r="I73" t="str" s="51" cm="1">
        <f t="array" ref="I73">VLOOKUP(H73,'Stammdaten'!$A$2:$C$31,3,FALSE())</f>
        <v>Reinigung</v>
      </c>
    </row>
    <row r="74" ht="18.5" customHeight="1">
      <c r="A74" s="60"/>
      <c r="B74" s="50"/>
      <c r="C74" s="50"/>
      <c r="D74" s="50"/>
      <c r="E74" s="50"/>
      <c r="F74" s="11"/>
      <c r="G74" s="11"/>
      <c r="H74" t="str" s="50" cm="1">
        <f t="array" ref="H74">'Bewegungen'!B45</f>
        <v>A003</v>
      </c>
      <c r="I74" t="str" s="51" cm="1">
        <f t="array" ref="I74">VLOOKUP(H74,'Stammdaten'!$A$2:$C$31,3,FALSE())</f>
        <v>Lager</v>
      </c>
    </row>
    <row r="75" ht="18.5" customHeight="1">
      <c r="A75" s="60"/>
      <c r="B75" s="50"/>
      <c r="C75" s="50"/>
      <c r="D75" s="50"/>
      <c r="E75" s="50"/>
      <c r="F75" s="11"/>
      <c r="G75" s="11"/>
      <c r="H75" t="str" s="50" cm="1">
        <f t="array" ref="H75">'Bewegungen'!B46</f>
        <v>A029</v>
      </c>
      <c r="I75" t="str" s="51" cm="1">
        <f t="array" ref="I75">VLOOKUP(H75,'Stammdaten'!$A$2:$C$31,3,FALSE())</f>
        <v>Produktion</v>
      </c>
    </row>
    <row r="76" ht="18.5" customHeight="1">
      <c r="A76" s="60"/>
      <c r="B76" s="50"/>
      <c r="C76" s="50"/>
      <c r="D76" s="50"/>
      <c r="E76" s="50"/>
      <c r="F76" s="11"/>
      <c r="G76" s="11"/>
      <c r="H76" t="str" s="50" cm="1">
        <f t="array" ref="H76">'Bewegungen'!B47</f>
        <v>A030</v>
      </c>
      <c r="I76" t="str" s="51" cm="1">
        <f t="array" ref="I76">VLOOKUP(H76,'Stammdaten'!$A$2:$C$31,3,FALSE())</f>
        <v>Produktion</v>
      </c>
    </row>
    <row r="77" ht="18.5" customHeight="1">
      <c r="A77" s="60"/>
      <c r="B77" s="50"/>
      <c r="C77" s="50"/>
      <c r="D77" s="50"/>
      <c r="E77" s="50"/>
      <c r="F77" s="11"/>
      <c r="G77" s="11"/>
      <c r="H77" t="str" s="50" cm="1">
        <f t="array" ref="H77">'Bewegungen'!B48</f>
        <v>A022</v>
      </c>
      <c r="I77" t="str" s="51" cm="1">
        <f t="array" ref="I77">VLOOKUP(H77,'Stammdaten'!$A$2:$C$31,3,FALSE())</f>
        <v>Wartung</v>
      </c>
    </row>
    <row r="78" ht="18.5" customHeight="1">
      <c r="A78" s="60"/>
      <c r="B78" s="50"/>
      <c r="C78" s="50"/>
      <c r="D78" s="50"/>
      <c r="E78" s="50"/>
      <c r="F78" s="11"/>
      <c r="G78" s="11"/>
      <c r="H78" t="str" s="50" cm="1">
        <f t="array" ref="H78">'Bewegungen'!B49</f>
        <v>A019</v>
      </c>
      <c r="I78" t="str" s="51" cm="1">
        <f t="array" ref="I78">VLOOKUP(H78,'Stammdaten'!$A$2:$C$31,3,FALSE())</f>
        <v>Wartung</v>
      </c>
    </row>
    <row r="79" ht="18.5" customHeight="1">
      <c r="A79" s="60"/>
      <c r="B79" s="50"/>
      <c r="C79" s="50"/>
      <c r="D79" s="50"/>
      <c r="E79" s="50"/>
      <c r="F79" s="11"/>
      <c r="G79" s="11"/>
      <c r="H79" t="str" s="50" cm="1">
        <f t="array" ref="H79">'Bewegungen'!B50</f>
        <v>A016</v>
      </c>
      <c r="I79" t="str" s="51" cm="1">
        <f t="array" ref="I79">VLOOKUP(H79,'Stammdaten'!$A$2:$C$31,3,FALSE())</f>
        <v>Reinigung</v>
      </c>
    </row>
    <row r="80" ht="18.5" customHeight="1">
      <c r="A80" s="60"/>
      <c r="B80" s="50"/>
      <c r="C80" s="50"/>
      <c r="D80" s="50"/>
      <c r="E80" s="50"/>
      <c r="F80" s="11"/>
      <c r="G80" s="11"/>
      <c r="H80" t="str" s="50" cm="1">
        <f t="array" ref="H80">'Bewegungen'!B51</f>
        <v>A028</v>
      </c>
      <c r="I80" t="str" s="51" cm="1">
        <f t="array" ref="I80">VLOOKUP(H80,'Stammdaten'!$A$2:$C$31,3,FALSE())</f>
        <v>Produktion</v>
      </c>
    </row>
    <row r="81" ht="18.5" customHeight="1">
      <c r="A81" s="60"/>
      <c r="B81" s="50"/>
      <c r="C81" s="50"/>
      <c r="D81" s="50"/>
      <c r="E81" s="50"/>
      <c r="F81" s="11"/>
      <c r="G81" s="11"/>
      <c r="H81" t="str" s="50" cm="1">
        <f t="array" ref="H81">'Bewegungen'!B52</f>
        <v>A013</v>
      </c>
      <c r="I81" t="str" s="51" cm="1">
        <f t="array" ref="I81">VLOOKUP(H81,'Stammdaten'!$A$2:$C$31,3,FALSE())</f>
        <v>Reinigung</v>
      </c>
    </row>
    <row r="82" ht="18.5" customHeight="1">
      <c r="A82" s="60"/>
      <c r="B82" s="50"/>
      <c r="C82" s="50"/>
      <c r="D82" s="50"/>
      <c r="E82" s="50"/>
      <c r="F82" s="11"/>
      <c r="G82" s="11"/>
      <c r="H82" t="str" s="50" cm="1">
        <f t="array" ref="H82">'Bewegungen'!B53</f>
        <v>A003</v>
      </c>
      <c r="I82" t="str" s="51" cm="1">
        <f t="array" ref="I82">VLOOKUP(H82,'Stammdaten'!$A$2:$C$31,3,FALSE())</f>
        <v>Lager</v>
      </c>
    </row>
    <row r="83" ht="18.5" customHeight="1">
      <c r="A83" s="60"/>
      <c r="B83" s="50"/>
      <c r="C83" s="50"/>
      <c r="D83" s="50"/>
      <c r="E83" s="50"/>
      <c r="F83" s="11"/>
      <c r="G83" s="11"/>
      <c r="H83" t="str" s="50" cm="1">
        <f t="array" ref="H83">'Bewegungen'!B54</f>
        <v>A007</v>
      </c>
      <c r="I83" t="str" s="51" cm="1">
        <f t="array" ref="I83">VLOOKUP(H83,'Stammdaten'!$A$2:$C$31,3,FALSE())</f>
        <v>Versand</v>
      </c>
    </row>
    <row r="84" ht="18.5" customHeight="1">
      <c r="A84" s="60"/>
      <c r="B84" s="50"/>
      <c r="C84" s="50"/>
      <c r="D84" s="50"/>
      <c r="E84" s="50"/>
      <c r="F84" s="11"/>
      <c r="G84" s="11"/>
      <c r="H84" t="str" s="50" cm="1">
        <f t="array" ref="H84">'Bewegungen'!B55</f>
        <v>A010</v>
      </c>
      <c r="I84" t="str" s="51" cm="1">
        <f t="array" ref="I84">VLOOKUP(H84,'Stammdaten'!$A$2:$C$31,3,FALSE())</f>
        <v>Versand</v>
      </c>
    </row>
    <row r="85" ht="18.5" customHeight="1">
      <c r="A85" s="60"/>
      <c r="B85" s="50"/>
      <c r="C85" s="50"/>
      <c r="D85" s="50"/>
      <c r="E85" s="50"/>
      <c r="F85" s="11"/>
      <c r="G85" s="11"/>
      <c r="H85" t="str" s="50" cm="1">
        <f t="array" ref="H85">'Bewegungen'!B56</f>
        <v>A015</v>
      </c>
      <c r="I85" t="str" s="51" cm="1">
        <f t="array" ref="I85">VLOOKUP(H85,'Stammdaten'!$A$2:$C$31,3,FALSE())</f>
        <v>Reinigung</v>
      </c>
    </row>
    <row r="86" ht="18.5" customHeight="1">
      <c r="A86" s="60"/>
      <c r="B86" s="50"/>
      <c r="C86" s="50"/>
      <c r="D86" s="50"/>
      <c r="E86" s="50"/>
      <c r="F86" s="11"/>
      <c r="G86" s="11"/>
      <c r="H86" t="str" s="50" cm="1">
        <f t="array" ref="H86">'Bewegungen'!B57</f>
        <v>A017</v>
      </c>
      <c r="I86" t="str" s="51" cm="1">
        <f t="array" ref="I86">VLOOKUP(H86,'Stammdaten'!$A$2:$C$31,3,FALSE())</f>
        <v>Reinigung</v>
      </c>
    </row>
    <row r="87" ht="18.5" customHeight="1">
      <c r="A87" s="60"/>
      <c r="B87" s="50"/>
      <c r="C87" s="50"/>
      <c r="D87" s="50"/>
      <c r="E87" s="50"/>
      <c r="F87" s="11"/>
      <c r="G87" s="11"/>
      <c r="H87" t="str" s="50" cm="1">
        <f t="array" ref="H87">'Bewegungen'!B58</f>
        <v>A012</v>
      </c>
      <c r="I87" t="str" s="51" cm="1">
        <f t="array" ref="I87">VLOOKUP(H87,'Stammdaten'!$A$2:$C$31,3,FALSE())</f>
        <v>Versand</v>
      </c>
    </row>
    <row r="88" ht="18.5" customHeight="1">
      <c r="A88" s="60"/>
      <c r="B88" s="50"/>
      <c r="C88" s="50"/>
      <c r="D88" s="50"/>
      <c r="E88" s="50"/>
      <c r="F88" s="11"/>
      <c r="G88" s="11"/>
      <c r="H88" t="str" s="50" cm="1">
        <f t="array" ref="H88">'Bewegungen'!B59</f>
        <v>A020</v>
      </c>
      <c r="I88" t="str" s="51" cm="1">
        <f t="array" ref="I88">VLOOKUP(H88,'Stammdaten'!$A$2:$C$31,3,FALSE())</f>
        <v>Wartung</v>
      </c>
    </row>
    <row r="89" ht="18.5" customHeight="1">
      <c r="A89" s="60"/>
      <c r="B89" s="50"/>
      <c r="C89" s="50"/>
      <c r="D89" s="50"/>
      <c r="E89" s="50"/>
      <c r="F89" s="11"/>
      <c r="G89" s="11"/>
      <c r="H89" t="str" s="50" cm="1">
        <f t="array" ref="H89">'Bewegungen'!B60</f>
        <v>A004</v>
      </c>
      <c r="I89" t="str" s="51" cm="1">
        <f t="array" ref="I89">VLOOKUP(H89,'Stammdaten'!$A$2:$C$31,3,FALSE())</f>
        <v>Lager</v>
      </c>
    </row>
    <row r="90" ht="18.5" customHeight="1">
      <c r="A90" s="60"/>
      <c r="B90" s="50"/>
      <c r="C90" s="50"/>
      <c r="D90" s="50"/>
      <c r="E90" s="50"/>
      <c r="F90" s="11"/>
      <c r="G90" s="11"/>
      <c r="H90" t="str" s="50" cm="1">
        <f t="array" ref="H90">'Bewegungen'!B61</f>
        <v>A005</v>
      </c>
      <c r="I90" t="str" s="51" cm="1">
        <f t="array" ref="I90">VLOOKUP(H90,'Stammdaten'!$A$2:$C$31,3,FALSE())</f>
        <v>Lager</v>
      </c>
    </row>
    <row r="91" ht="18.5" customHeight="1">
      <c r="A91" s="60"/>
      <c r="B91" s="50"/>
      <c r="C91" s="50"/>
      <c r="D91" s="50"/>
      <c r="E91" s="50"/>
      <c r="F91" s="11"/>
      <c r="G91" s="11"/>
      <c r="H91" t="str" s="50" cm="1">
        <f t="array" ref="H91">'Bewegungen'!B62</f>
        <v>A022</v>
      </c>
      <c r="I91" t="str" s="51" cm="1">
        <f t="array" ref="I91">VLOOKUP(H91,'Stammdaten'!$A$2:$C$31,3,FALSE())</f>
        <v>Wartung</v>
      </c>
    </row>
    <row r="92" ht="18.5" customHeight="1">
      <c r="A92" s="60"/>
      <c r="B92" s="50"/>
      <c r="C92" s="50"/>
      <c r="D92" s="50"/>
      <c r="E92" s="50"/>
      <c r="F92" s="11"/>
      <c r="G92" s="11"/>
      <c r="H92" t="str" s="50" cm="1">
        <f t="array" ref="H92">'Bewegungen'!B63</f>
        <v>A003</v>
      </c>
      <c r="I92" t="str" s="51" cm="1">
        <f t="array" ref="I92">VLOOKUP(H92,'Stammdaten'!$A$2:$C$31,3,FALSE())</f>
        <v>Lager</v>
      </c>
    </row>
    <row r="93" ht="18.5" customHeight="1">
      <c r="A93" s="60"/>
      <c r="B93" s="50"/>
      <c r="C93" s="50"/>
      <c r="D93" s="50"/>
      <c r="E93" s="50"/>
      <c r="F93" s="11"/>
      <c r="G93" s="11"/>
      <c r="H93" t="str" s="50" cm="1">
        <f t="array" ref="H93">'Bewegungen'!B64</f>
        <v>A021</v>
      </c>
      <c r="I93" t="str" s="51" cm="1">
        <f t="array" ref="I93">VLOOKUP(H93,'Stammdaten'!$A$2:$C$31,3,FALSE())</f>
        <v>Wartung</v>
      </c>
    </row>
    <row r="94" ht="18.5" customHeight="1">
      <c r="A94" s="60"/>
      <c r="B94" s="50"/>
      <c r="C94" s="50"/>
      <c r="D94" s="50"/>
      <c r="E94" s="50"/>
      <c r="F94" s="11"/>
      <c r="G94" s="11"/>
      <c r="H94" t="str" s="50" cm="1">
        <f t="array" ref="H94">'Bewegungen'!B65</f>
        <v>A018</v>
      </c>
      <c r="I94" t="str" s="51" cm="1">
        <f t="array" ref="I94">VLOOKUP(H94,'Stammdaten'!$A$2:$C$31,3,FALSE())</f>
        <v>Reinigung</v>
      </c>
    </row>
    <row r="95" ht="18.5" customHeight="1">
      <c r="A95" s="60"/>
      <c r="B95" s="50"/>
      <c r="C95" s="50"/>
      <c r="D95" s="50"/>
      <c r="E95" s="50"/>
      <c r="F95" s="11"/>
      <c r="G95" s="11"/>
      <c r="H95" t="str" s="50" cm="1">
        <f t="array" ref="H95">'Bewegungen'!B66</f>
        <v>A018</v>
      </c>
      <c r="I95" t="str" s="51" cm="1">
        <f t="array" ref="I95">VLOOKUP(H95,'Stammdaten'!$A$2:$C$31,3,FALSE())</f>
        <v>Reinigung</v>
      </c>
    </row>
    <row r="96" ht="18.5" customHeight="1">
      <c r="A96" s="60"/>
      <c r="B96" s="50"/>
      <c r="C96" s="50"/>
      <c r="D96" s="50"/>
      <c r="E96" s="50"/>
      <c r="F96" s="11"/>
      <c r="G96" s="11"/>
      <c r="H96" t="str" s="50" cm="1">
        <f t="array" ref="H96">'Bewegungen'!B67</f>
        <v>A002</v>
      </c>
      <c r="I96" t="str" s="51" cm="1">
        <f t="array" ref="I96">VLOOKUP(H96,'Stammdaten'!$A$2:$C$31,3,FALSE())</f>
        <v>Lager</v>
      </c>
    </row>
    <row r="97" ht="18.5" customHeight="1">
      <c r="A97" s="60"/>
      <c r="B97" s="50"/>
      <c r="C97" s="50"/>
      <c r="D97" s="50"/>
      <c r="E97" s="50"/>
      <c r="F97" s="11"/>
      <c r="G97" s="11"/>
      <c r="H97" t="str" s="50" cm="1">
        <f t="array" ref="H97">'Bewegungen'!B68</f>
        <v>A029</v>
      </c>
      <c r="I97" t="str" s="51" cm="1">
        <f t="array" ref="I97">VLOOKUP(H97,'Stammdaten'!$A$2:$C$31,3,FALSE())</f>
        <v>Produktion</v>
      </c>
    </row>
    <row r="98" ht="18.5" customHeight="1">
      <c r="A98" s="60"/>
      <c r="B98" s="50"/>
      <c r="C98" s="50"/>
      <c r="D98" s="50"/>
      <c r="E98" s="50"/>
      <c r="F98" s="11"/>
      <c r="G98" s="11"/>
      <c r="H98" t="str" s="50" cm="1">
        <f t="array" ref="H98">'Bewegungen'!B69</f>
        <v>A025</v>
      </c>
      <c r="I98" t="str" s="51" cm="1">
        <f t="array" ref="I98">VLOOKUP(H98,'Stammdaten'!$A$2:$C$31,3,FALSE())</f>
        <v>Produktion</v>
      </c>
    </row>
    <row r="99" ht="18.5" customHeight="1">
      <c r="A99" s="60"/>
      <c r="B99" s="50"/>
      <c r="C99" s="50"/>
      <c r="D99" s="50"/>
      <c r="E99" s="50"/>
      <c r="F99" s="11"/>
      <c r="G99" s="11"/>
      <c r="H99" t="str" s="50" cm="1">
        <f t="array" ref="H99">'Bewegungen'!B70</f>
        <v>A028</v>
      </c>
      <c r="I99" t="str" s="51" cm="1">
        <f t="array" ref="I99">VLOOKUP(H99,'Stammdaten'!$A$2:$C$31,3,FALSE())</f>
        <v>Produktion</v>
      </c>
    </row>
    <row r="100" ht="18.5" customHeight="1">
      <c r="A100" s="60"/>
      <c r="B100" s="50"/>
      <c r="C100" s="50"/>
      <c r="D100" s="50"/>
      <c r="E100" s="50"/>
      <c r="F100" s="11"/>
      <c r="G100" s="11"/>
      <c r="H100" t="str" s="50" cm="1">
        <f t="array" ref="H100">'Bewegungen'!B71</f>
        <v>A030</v>
      </c>
      <c r="I100" t="str" s="51" cm="1">
        <f t="array" ref="I100">VLOOKUP(H100,'Stammdaten'!$A$2:$C$31,3,FALSE())</f>
        <v>Produktion</v>
      </c>
    </row>
    <row r="101" ht="18.5" customHeight="1">
      <c r="A101" s="60"/>
      <c r="B101" s="50"/>
      <c r="C101" s="50"/>
      <c r="D101" s="50"/>
      <c r="E101" s="50"/>
      <c r="F101" s="11"/>
      <c r="G101" s="11"/>
      <c r="H101" t="str" s="50" cm="1">
        <f t="array" ref="H101">'Bewegungen'!B72</f>
        <v>A009</v>
      </c>
      <c r="I101" t="str" s="51" cm="1">
        <f t="array" ref="I101">VLOOKUP(H101,'Stammdaten'!$A$2:$C$31,3,FALSE())</f>
        <v>Versand</v>
      </c>
    </row>
    <row r="102" ht="18.5" customHeight="1">
      <c r="A102" s="60"/>
      <c r="B102" s="50"/>
      <c r="C102" s="50"/>
      <c r="D102" s="50"/>
      <c r="E102" s="50"/>
      <c r="F102" s="11"/>
      <c r="G102" s="11"/>
      <c r="H102" t="str" s="50" cm="1">
        <f t="array" ref="H102">'Bewegungen'!B73</f>
        <v>A008</v>
      </c>
      <c r="I102" t="str" s="51" cm="1">
        <f t="array" ref="I102">VLOOKUP(H102,'Stammdaten'!$A$2:$C$31,3,FALSE())</f>
        <v>Versand</v>
      </c>
    </row>
    <row r="103" ht="18.5" customHeight="1">
      <c r="A103" s="60"/>
      <c r="B103" s="50"/>
      <c r="C103" s="50"/>
      <c r="D103" s="50"/>
      <c r="E103" s="50"/>
      <c r="F103" s="11"/>
      <c r="G103" s="11"/>
      <c r="H103" t="str" s="50" cm="1">
        <f t="array" ref="H103">'Bewegungen'!B74</f>
        <v>A008</v>
      </c>
      <c r="I103" t="str" s="51" cm="1">
        <f t="array" ref="I103">VLOOKUP(H103,'Stammdaten'!$A$2:$C$31,3,FALSE())</f>
        <v>Versand</v>
      </c>
    </row>
    <row r="104" ht="18.5" customHeight="1">
      <c r="A104" s="60"/>
      <c r="B104" s="50"/>
      <c r="C104" s="50"/>
      <c r="D104" s="50"/>
      <c r="E104" s="50"/>
      <c r="F104" s="11"/>
      <c r="G104" s="11"/>
      <c r="H104" t="str" s="50" cm="1">
        <f t="array" ref="H104">'Bewegungen'!B75</f>
        <v>A025</v>
      </c>
      <c r="I104" t="str" s="51" cm="1">
        <f t="array" ref="I104">VLOOKUP(H104,'Stammdaten'!$A$2:$C$31,3,FALSE())</f>
        <v>Produktion</v>
      </c>
    </row>
    <row r="105" ht="18.5" customHeight="1">
      <c r="A105" s="60"/>
      <c r="B105" s="50"/>
      <c r="C105" s="50"/>
      <c r="D105" s="50"/>
      <c r="E105" s="50"/>
      <c r="F105" s="11"/>
      <c r="G105" s="11"/>
      <c r="H105" t="str" s="50" cm="1">
        <f t="array" ref="H105">'Bewegungen'!B76</f>
        <v>A011</v>
      </c>
      <c r="I105" t="str" s="51" cm="1">
        <f t="array" ref="I105">VLOOKUP(H105,'Stammdaten'!$A$2:$C$31,3,FALSE())</f>
        <v>Versand</v>
      </c>
    </row>
    <row r="106" ht="18.5" customHeight="1">
      <c r="A106" s="60"/>
      <c r="B106" s="50"/>
      <c r="C106" s="50"/>
      <c r="D106" s="50"/>
      <c r="E106" s="50"/>
      <c r="F106" s="11"/>
      <c r="G106" s="11"/>
      <c r="H106" t="str" s="50" cm="1">
        <f t="array" ref="H106">'Bewegungen'!B77</f>
        <v>A009</v>
      </c>
      <c r="I106" t="str" s="51" cm="1">
        <f t="array" ref="I106">VLOOKUP(H106,'Stammdaten'!$A$2:$C$31,3,FALSE())</f>
        <v>Versand</v>
      </c>
    </row>
    <row r="107" ht="18.5" customHeight="1">
      <c r="A107" s="60"/>
      <c r="B107" s="50"/>
      <c r="C107" s="50"/>
      <c r="D107" s="50"/>
      <c r="E107" s="50"/>
      <c r="F107" s="11"/>
      <c r="G107" s="11"/>
      <c r="H107" t="str" s="50" cm="1">
        <f t="array" ref="H107">'Bewegungen'!B78</f>
        <v>A014</v>
      </c>
      <c r="I107" t="str" s="51" cm="1">
        <f t="array" ref="I107">VLOOKUP(H107,'Stammdaten'!$A$2:$C$31,3,FALSE())</f>
        <v>Reinigung</v>
      </c>
    </row>
    <row r="108" ht="18.5" customHeight="1">
      <c r="A108" s="60"/>
      <c r="B108" s="50"/>
      <c r="C108" s="50"/>
      <c r="D108" s="50"/>
      <c r="E108" s="50"/>
      <c r="F108" s="11"/>
      <c r="G108" s="11"/>
      <c r="H108" t="str" s="50" cm="1">
        <f t="array" ref="H108">'Bewegungen'!B79</f>
        <v>A009</v>
      </c>
      <c r="I108" t="str" s="51" cm="1">
        <f t="array" ref="I108">VLOOKUP(H108,'Stammdaten'!$A$2:$C$31,3,FALSE())</f>
        <v>Versand</v>
      </c>
    </row>
    <row r="109" ht="18.5" customHeight="1">
      <c r="A109" s="60"/>
      <c r="B109" s="50"/>
      <c r="C109" s="50"/>
      <c r="D109" s="50"/>
      <c r="E109" s="50"/>
      <c r="F109" s="11"/>
      <c r="G109" s="11"/>
      <c r="H109" t="str" s="50" cm="1">
        <f t="array" ref="H109">'Bewegungen'!B80</f>
        <v>A022</v>
      </c>
      <c r="I109" t="str" s="51" cm="1">
        <f t="array" ref="I109">VLOOKUP(H109,'Stammdaten'!$A$2:$C$31,3,FALSE())</f>
        <v>Wartung</v>
      </c>
    </row>
    <row r="110" ht="18.5" customHeight="1">
      <c r="A110" s="60"/>
      <c r="B110" s="50"/>
      <c r="C110" s="50"/>
      <c r="D110" s="50"/>
      <c r="E110" s="50"/>
      <c r="F110" s="11"/>
      <c r="G110" s="11"/>
      <c r="H110" t="str" s="50" cm="1">
        <f t="array" ref="H110">'Bewegungen'!B81</f>
        <v>A020</v>
      </c>
      <c r="I110" t="str" s="51" cm="1">
        <f t="array" ref="I110">VLOOKUP(H110,'Stammdaten'!$A$2:$C$31,3,FALSE())</f>
        <v>Wartung</v>
      </c>
    </row>
    <row r="111" ht="18.5" customHeight="1">
      <c r="A111" s="60"/>
      <c r="B111" s="50"/>
      <c r="C111" s="50"/>
      <c r="D111" s="50"/>
      <c r="E111" s="50"/>
      <c r="F111" s="11"/>
      <c r="G111" s="11"/>
      <c r="H111" t="str" s="50" cm="1">
        <f t="array" ref="H111">'Bewegungen'!B82</f>
        <v>A017</v>
      </c>
      <c r="I111" t="str" s="51" cm="1">
        <f t="array" ref="I111">VLOOKUP(H111,'Stammdaten'!$A$2:$C$31,3,FALSE())</f>
        <v>Reinigung</v>
      </c>
    </row>
    <row r="112" ht="18.5" customHeight="1">
      <c r="A112" s="60"/>
      <c r="B112" s="50"/>
      <c r="C112" s="50"/>
      <c r="D112" s="50"/>
      <c r="E112" s="50"/>
      <c r="F112" s="11"/>
      <c r="G112" s="11"/>
      <c r="H112" t="str" s="50" cm="1">
        <f t="array" ref="H112">'Bewegungen'!B83</f>
        <v>A018</v>
      </c>
      <c r="I112" t="str" s="51" cm="1">
        <f t="array" ref="I112">VLOOKUP(H112,'Stammdaten'!$A$2:$C$31,3,FALSE())</f>
        <v>Reinigung</v>
      </c>
    </row>
    <row r="113" ht="18.5" customHeight="1">
      <c r="A113" s="60"/>
      <c r="B113" s="50"/>
      <c r="C113" s="50"/>
      <c r="D113" s="50"/>
      <c r="E113" s="50"/>
      <c r="F113" s="11"/>
      <c r="G113" s="11"/>
      <c r="H113" t="str" s="50" cm="1">
        <f t="array" ref="H113">'Bewegungen'!B84</f>
        <v>A024</v>
      </c>
      <c r="I113" t="str" s="51" cm="1">
        <f t="array" ref="I113">VLOOKUP(H113,'Stammdaten'!$A$2:$C$31,3,FALSE())</f>
        <v>Wartung</v>
      </c>
    </row>
    <row r="114" ht="18.5" customHeight="1">
      <c r="A114" s="60"/>
      <c r="B114" s="50"/>
      <c r="C114" s="50"/>
      <c r="D114" s="50"/>
      <c r="E114" s="50"/>
      <c r="F114" s="11"/>
      <c r="G114" s="11"/>
      <c r="H114" t="str" s="50" cm="1">
        <f t="array" ref="H114">'Bewegungen'!B85</f>
        <v>A010</v>
      </c>
      <c r="I114" t="str" s="51" cm="1">
        <f t="array" ref="I114">VLOOKUP(H114,'Stammdaten'!$A$2:$C$31,3,FALSE())</f>
        <v>Versand</v>
      </c>
    </row>
    <row r="115" ht="18.5" customHeight="1">
      <c r="A115" s="60"/>
      <c r="B115" s="50"/>
      <c r="C115" s="50"/>
      <c r="D115" s="50"/>
      <c r="E115" s="50"/>
      <c r="F115" s="11"/>
      <c r="G115" s="11"/>
      <c r="H115" t="str" s="50" cm="1">
        <f t="array" ref="H115">'Bewegungen'!B86</f>
        <v>A011</v>
      </c>
      <c r="I115" t="str" s="51" cm="1">
        <f t="array" ref="I115">VLOOKUP(H115,'Stammdaten'!$A$2:$C$31,3,FALSE())</f>
        <v>Versand</v>
      </c>
    </row>
    <row r="116" ht="18.5" customHeight="1">
      <c r="A116" s="60"/>
      <c r="B116" s="50"/>
      <c r="C116" s="50"/>
      <c r="D116" s="50"/>
      <c r="E116" s="50"/>
      <c r="F116" s="11"/>
      <c r="G116" s="11"/>
      <c r="H116" t="str" s="50" cm="1">
        <f t="array" ref="H116">'Bewegungen'!B87</f>
        <v>A026</v>
      </c>
      <c r="I116" t="str" s="51" cm="1">
        <f t="array" ref="I116">VLOOKUP(H116,'Stammdaten'!$A$2:$C$31,3,FALSE())</f>
        <v>Produktion</v>
      </c>
    </row>
    <row r="117" ht="18.5" customHeight="1">
      <c r="A117" s="60"/>
      <c r="B117" s="50"/>
      <c r="C117" s="50"/>
      <c r="D117" s="50"/>
      <c r="E117" s="50"/>
      <c r="F117" s="11"/>
      <c r="G117" s="11"/>
      <c r="H117" t="str" s="50" cm="1">
        <f t="array" ref="H117">'Bewegungen'!B88</f>
        <v>A020</v>
      </c>
      <c r="I117" t="str" s="51" cm="1">
        <f t="array" ref="I117">VLOOKUP(H117,'Stammdaten'!$A$2:$C$31,3,FALSE())</f>
        <v>Wartung</v>
      </c>
    </row>
    <row r="118" ht="18.5" customHeight="1">
      <c r="A118" s="60"/>
      <c r="B118" s="50"/>
      <c r="C118" s="50"/>
      <c r="D118" s="50"/>
      <c r="E118" s="50"/>
      <c r="F118" s="11"/>
      <c r="G118" s="11"/>
      <c r="H118" t="str" s="50" cm="1">
        <f t="array" ref="H118">'Bewegungen'!B89</f>
        <v>A010</v>
      </c>
      <c r="I118" t="str" s="51" cm="1">
        <f t="array" ref="I118">VLOOKUP(H118,'Stammdaten'!$A$2:$C$31,3,FALSE())</f>
        <v>Versand</v>
      </c>
    </row>
    <row r="119" ht="18.5" customHeight="1">
      <c r="A119" s="60"/>
      <c r="B119" s="50"/>
      <c r="C119" s="50"/>
      <c r="D119" s="50"/>
      <c r="E119" s="50"/>
      <c r="F119" s="11"/>
      <c r="G119" s="11"/>
      <c r="H119" t="str" s="50" cm="1">
        <f t="array" ref="H119">'Bewegungen'!B90</f>
        <v>A020</v>
      </c>
      <c r="I119" t="str" s="51" cm="1">
        <f t="array" ref="I119">VLOOKUP(H119,'Stammdaten'!$A$2:$C$31,3,FALSE())</f>
        <v>Wartung</v>
      </c>
    </row>
    <row r="120" ht="18.5" customHeight="1">
      <c r="A120" s="60"/>
      <c r="B120" s="50"/>
      <c r="C120" s="50"/>
      <c r="D120" s="50"/>
      <c r="E120" s="50"/>
      <c r="F120" s="11"/>
      <c r="G120" s="11"/>
      <c r="H120" t="str" s="50" cm="1">
        <f t="array" ref="H120">'Bewegungen'!B91</f>
        <v>A023</v>
      </c>
      <c r="I120" t="str" s="51" cm="1">
        <f t="array" ref="I120">VLOOKUP(H120,'Stammdaten'!$A$2:$C$31,3,FALSE())</f>
        <v>Wartung</v>
      </c>
    </row>
    <row r="121" ht="18.5" customHeight="1">
      <c r="A121" s="60"/>
      <c r="B121" s="50"/>
      <c r="C121" s="50"/>
      <c r="D121" s="50"/>
      <c r="E121" s="50"/>
      <c r="F121" s="11"/>
      <c r="G121" s="11"/>
      <c r="H121" t="str" s="50" cm="1">
        <f t="array" ref="H121">'Bewegungen'!B92</f>
        <v>A001</v>
      </c>
      <c r="I121" t="str" s="51" cm="1">
        <f t="array" ref="I121">VLOOKUP(H121,'Stammdaten'!$A$2:$C$31,3,FALSE())</f>
        <v>Lager</v>
      </c>
    </row>
    <row r="122" ht="18.5" customHeight="1">
      <c r="A122" s="60"/>
      <c r="B122" s="50"/>
      <c r="C122" s="50"/>
      <c r="D122" s="50"/>
      <c r="E122" s="50"/>
      <c r="F122" s="11"/>
      <c r="G122" s="11"/>
      <c r="H122" t="str" s="50" cm="1">
        <f t="array" ref="H122">'Bewegungen'!B93</f>
        <v>A017</v>
      </c>
      <c r="I122" t="str" s="51" cm="1">
        <f t="array" ref="I122">VLOOKUP(H122,'Stammdaten'!$A$2:$C$31,3,FALSE())</f>
        <v>Reinigung</v>
      </c>
    </row>
    <row r="123" ht="18.5" customHeight="1">
      <c r="A123" s="60"/>
      <c r="B123" s="50"/>
      <c r="C123" s="50"/>
      <c r="D123" s="50"/>
      <c r="E123" s="50"/>
      <c r="F123" s="11"/>
      <c r="G123" s="11"/>
      <c r="H123" t="str" s="50" cm="1">
        <f t="array" ref="H123">'Bewegungen'!B94</f>
        <v>A015</v>
      </c>
      <c r="I123" t="str" s="51" cm="1">
        <f t="array" ref="I123">VLOOKUP(H123,'Stammdaten'!$A$2:$C$31,3,FALSE())</f>
        <v>Reinigung</v>
      </c>
    </row>
    <row r="124" ht="18.5" customHeight="1">
      <c r="A124" s="60"/>
      <c r="B124" s="50"/>
      <c r="C124" s="50"/>
      <c r="D124" s="50"/>
      <c r="E124" s="50"/>
      <c r="F124" s="11"/>
      <c r="G124" s="11"/>
      <c r="H124" t="str" s="50" cm="1">
        <f t="array" ref="H124">'Bewegungen'!B95</f>
        <v>A011</v>
      </c>
      <c r="I124" t="str" s="51" cm="1">
        <f t="array" ref="I124">VLOOKUP(H124,'Stammdaten'!$A$2:$C$31,3,FALSE())</f>
        <v>Versand</v>
      </c>
    </row>
    <row r="125" ht="18.5" customHeight="1">
      <c r="A125" s="60"/>
      <c r="B125" s="50"/>
      <c r="C125" s="50"/>
      <c r="D125" s="50"/>
      <c r="E125" s="50"/>
      <c r="F125" s="11"/>
      <c r="G125" s="11"/>
      <c r="H125" t="str" s="50" cm="1">
        <f t="array" ref="H125">'Bewegungen'!B96</f>
        <v>A027</v>
      </c>
      <c r="I125" t="str" s="51" cm="1">
        <f t="array" ref="I125">VLOOKUP(H125,'Stammdaten'!$A$2:$C$31,3,FALSE())</f>
        <v>Produktion</v>
      </c>
    </row>
    <row r="126" ht="18.5" customHeight="1">
      <c r="A126" s="60"/>
      <c r="B126" s="50"/>
      <c r="C126" s="50"/>
      <c r="D126" s="50"/>
      <c r="E126" s="50"/>
      <c r="F126" s="11"/>
      <c r="G126" s="11"/>
      <c r="H126" t="str" s="50" cm="1">
        <f t="array" ref="H126">'Bewegungen'!B97</f>
        <v>A015</v>
      </c>
      <c r="I126" t="str" s="51" cm="1">
        <f t="array" ref="I126">VLOOKUP(H126,'Stammdaten'!$A$2:$C$31,3,FALSE())</f>
        <v>Reinigung</v>
      </c>
    </row>
    <row r="127" ht="18.5" customHeight="1">
      <c r="A127" s="60"/>
      <c r="B127" s="50"/>
      <c r="C127" s="50"/>
      <c r="D127" s="50"/>
      <c r="E127" s="50"/>
      <c r="F127" s="11"/>
      <c r="G127" s="11"/>
      <c r="H127" t="str" s="50" cm="1">
        <f t="array" ref="H127">'Bewegungen'!B98</f>
        <v>A017</v>
      </c>
      <c r="I127" t="str" s="51" cm="1">
        <f t="array" ref="I127">VLOOKUP(H127,'Stammdaten'!$A$2:$C$31,3,FALSE())</f>
        <v>Reinigung</v>
      </c>
    </row>
    <row r="128" ht="18.5" customHeight="1">
      <c r="A128" s="60"/>
      <c r="B128" s="50"/>
      <c r="C128" s="50"/>
      <c r="D128" s="50"/>
      <c r="E128" s="50"/>
      <c r="F128" s="11"/>
      <c r="G128" s="11"/>
      <c r="H128" t="str" s="50" cm="1">
        <f t="array" ref="H128">'Bewegungen'!B99</f>
        <v>A010</v>
      </c>
      <c r="I128" t="str" s="51" cm="1">
        <f t="array" ref="I128">VLOOKUP(H128,'Stammdaten'!$A$2:$C$31,3,FALSE())</f>
        <v>Versand</v>
      </c>
    </row>
    <row r="129" ht="18.5" customHeight="1">
      <c r="A129" s="60"/>
      <c r="B129" s="50"/>
      <c r="C129" s="50"/>
      <c r="D129" s="50"/>
      <c r="E129" s="50"/>
      <c r="F129" s="11"/>
      <c r="G129" s="11"/>
      <c r="H129" t="str" s="50" cm="1">
        <f t="array" ref="H129">'Bewegungen'!B100</f>
        <v>A005</v>
      </c>
      <c r="I129" t="str" s="51" cm="1">
        <f t="array" ref="I129">VLOOKUP(H129,'Stammdaten'!$A$2:$C$31,3,FALSE())</f>
        <v>Lager</v>
      </c>
    </row>
    <row r="130" ht="18.5" customHeight="1">
      <c r="A130" s="60"/>
      <c r="B130" s="50"/>
      <c r="C130" s="50"/>
      <c r="D130" s="50"/>
      <c r="E130" s="50"/>
      <c r="F130" s="11"/>
      <c r="G130" s="11"/>
      <c r="H130" t="str" s="50" cm="1">
        <f t="array" ref="H130">'Bewegungen'!B101</f>
        <v>A003</v>
      </c>
      <c r="I130" t="str" s="51" cm="1">
        <f t="array" ref="I130">VLOOKUP(H130,'Stammdaten'!$A$2:$C$31,3,FALSE())</f>
        <v>Lager</v>
      </c>
    </row>
    <row r="131" ht="18.5" customHeight="1">
      <c r="A131" s="60"/>
      <c r="B131" s="50"/>
      <c r="C131" s="50"/>
      <c r="D131" s="50"/>
      <c r="E131" s="50"/>
      <c r="F131" s="11"/>
      <c r="G131" s="11"/>
      <c r="H131" t="str" s="50" cm="1">
        <f t="array" ref="H131">'Bewegungen'!B102</f>
        <v>A007</v>
      </c>
      <c r="I131" t="str" s="51" cm="1">
        <f t="array" ref="I131">VLOOKUP(H131,'Stammdaten'!$A$2:$C$31,3,FALSE())</f>
        <v>Versand</v>
      </c>
    </row>
    <row r="132" ht="18.5" customHeight="1">
      <c r="A132" s="60"/>
      <c r="B132" s="50"/>
      <c r="C132" s="50"/>
      <c r="D132" s="50"/>
      <c r="E132" s="50"/>
      <c r="F132" s="11"/>
      <c r="G132" s="11"/>
      <c r="H132" t="str" s="50" cm="1">
        <f t="array" ref="H132">'Bewegungen'!B103</f>
        <v>A001</v>
      </c>
      <c r="I132" t="str" s="51" cm="1">
        <f t="array" ref="I132">VLOOKUP(H132,'Stammdaten'!$A$2:$C$31,3,FALSE())</f>
        <v>Lager</v>
      </c>
    </row>
    <row r="133" ht="18.5" customHeight="1">
      <c r="A133" s="60"/>
      <c r="B133" s="50"/>
      <c r="C133" s="50"/>
      <c r="D133" s="50"/>
      <c r="E133" s="50"/>
      <c r="F133" s="11"/>
      <c r="G133" s="11"/>
      <c r="H133" t="str" s="50" cm="1">
        <f t="array" ref="H133">'Bewegungen'!B104</f>
        <v>A025</v>
      </c>
      <c r="I133" t="str" s="51" cm="1">
        <f t="array" ref="I133">VLOOKUP(H133,'Stammdaten'!$A$2:$C$31,3,FALSE())</f>
        <v>Produktion</v>
      </c>
    </row>
    <row r="134" ht="18.5" customHeight="1">
      <c r="A134" s="60"/>
      <c r="B134" s="50"/>
      <c r="C134" s="50"/>
      <c r="D134" s="50"/>
      <c r="E134" s="50"/>
      <c r="F134" s="11"/>
      <c r="G134" s="11"/>
      <c r="H134" t="str" s="50" cm="1">
        <f t="array" ref="H134">'Bewegungen'!B105</f>
        <v>A029</v>
      </c>
      <c r="I134" t="str" s="51" cm="1">
        <f t="array" ref="I134">VLOOKUP(H134,'Stammdaten'!$A$2:$C$31,3,FALSE())</f>
        <v>Produktion</v>
      </c>
    </row>
    <row r="135" ht="18.5" customHeight="1">
      <c r="A135" s="60"/>
      <c r="B135" s="50"/>
      <c r="C135" s="50"/>
      <c r="D135" s="50"/>
      <c r="E135" s="50"/>
      <c r="F135" s="11"/>
      <c r="G135" s="11"/>
      <c r="H135" t="str" s="50" cm="1">
        <f t="array" ref="H135">'Bewegungen'!B106</f>
        <v>A013</v>
      </c>
      <c r="I135" t="str" s="51" cm="1">
        <f t="array" ref="I135">VLOOKUP(H135,'Stammdaten'!$A$2:$C$31,3,FALSE())</f>
        <v>Reinigung</v>
      </c>
    </row>
    <row r="136" ht="18.5" customHeight="1">
      <c r="A136" s="60"/>
      <c r="B136" s="50"/>
      <c r="C136" s="50"/>
      <c r="D136" s="50"/>
      <c r="E136" s="50"/>
      <c r="F136" s="11"/>
      <c r="G136" s="11"/>
      <c r="H136" t="str" s="50" cm="1">
        <f t="array" ref="H136">'Bewegungen'!B107</f>
        <v>A027</v>
      </c>
      <c r="I136" t="str" s="51" cm="1">
        <f t="array" ref="I136">VLOOKUP(H136,'Stammdaten'!$A$2:$C$31,3,FALSE())</f>
        <v>Produktion</v>
      </c>
    </row>
    <row r="137" ht="18.5" customHeight="1">
      <c r="A137" s="60"/>
      <c r="B137" s="50"/>
      <c r="C137" s="50"/>
      <c r="D137" s="50"/>
      <c r="E137" s="50"/>
      <c r="F137" s="11"/>
      <c r="G137" s="11"/>
      <c r="H137" t="str" s="50" cm="1">
        <f t="array" ref="H137">'Bewegungen'!B108</f>
        <v>A019</v>
      </c>
      <c r="I137" t="str" s="51" cm="1">
        <f t="array" ref="I137">VLOOKUP(H137,'Stammdaten'!$A$2:$C$31,3,FALSE())</f>
        <v>Wartung</v>
      </c>
    </row>
    <row r="138" ht="18.5" customHeight="1">
      <c r="A138" s="60"/>
      <c r="B138" s="50"/>
      <c r="C138" s="50"/>
      <c r="D138" s="50"/>
      <c r="E138" s="50"/>
      <c r="F138" s="11"/>
      <c r="G138" s="11"/>
      <c r="H138" t="str" s="50" cm="1">
        <f t="array" ref="H138">'Bewegungen'!B109</f>
        <v>A028</v>
      </c>
      <c r="I138" t="str" s="51" cm="1">
        <f t="array" ref="I138">VLOOKUP(H138,'Stammdaten'!$A$2:$C$31,3,FALSE())</f>
        <v>Produktion</v>
      </c>
    </row>
    <row r="139" ht="18.5" customHeight="1">
      <c r="A139" s="60"/>
      <c r="B139" s="50"/>
      <c r="C139" s="50"/>
      <c r="D139" s="50"/>
      <c r="E139" s="50"/>
      <c r="F139" s="11"/>
      <c r="G139" s="11"/>
      <c r="H139" t="str" s="50" cm="1">
        <f t="array" ref="H139">'Bewegungen'!B110</f>
        <v>A015</v>
      </c>
      <c r="I139" t="str" s="51" cm="1">
        <f t="array" ref="I139">VLOOKUP(H139,'Stammdaten'!$A$2:$C$31,3,FALSE())</f>
        <v>Reinigung</v>
      </c>
    </row>
    <row r="140" ht="18.5" customHeight="1">
      <c r="A140" s="60"/>
      <c r="B140" s="50"/>
      <c r="C140" s="50"/>
      <c r="D140" s="50"/>
      <c r="E140" s="50"/>
      <c r="F140" s="11"/>
      <c r="G140" s="11"/>
      <c r="H140" t="str" s="50" cm="1">
        <f t="array" ref="H140">'Bewegungen'!B111</f>
        <v>A027</v>
      </c>
      <c r="I140" t="str" s="51" cm="1">
        <f t="array" ref="I140">VLOOKUP(H140,'Stammdaten'!$A$2:$C$31,3,FALSE())</f>
        <v>Produktion</v>
      </c>
    </row>
    <row r="141" ht="18.5" customHeight="1">
      <c r="A141" s="60"/>
      <c r="B141" s="50"/>
      <c r="C141" s="50"/>
      <c r="D141" s="50"/>
      <c r="E141" s="50"/>
      <c r="F141" s="11"/>
      <c r="G141" s="11"/>
      <c r="H141" t="str" s="50" cm="1">
        <f t="array" ref="H141">'Bewegungen'!B112</f>
        <v>A018</v>
      </c>
      <c r="I141" t="str" s="51" cm="1">
        <f t="array" ref="I141">VLOOKUP(H141,'Stammdaten'!$A$2:$C$31,3,FALSE())</f>
        <v>Reinigung</v>
      </c>
    </row>
    <row r="142" ht="18.5" customHeight="1">
      <c r="A142" s="60"/>
      <c r="B142" s="50"/>
      <c r="C142" s="50"/>
      <c r="D142" s="50"/>
      <c r="E142" s="50"/>
      <c r="F142" s="11"/>
      <c r="G142" s="11"/>
      <c r="H142" t="str" s="50" cm="1">
        <f t="array" ref="H142">'Bewegungen'!B113</f>
        <v>A002</v>
      </c>
      <c r="I142" t="str" s="51" cm="1">
        <f t="array" ref="I142">VLOOKUP(H142,'Stammdaten'!$A$2:$C$31,3,FALSE())</f>
        <v>Lager</v>
      </c>
    </row>
    <row r="143" ht="18.5" customHeight="1">
      <c r="A143" s="60"/>
      <c r="B143" s="50"/>
      <c r="C143" s="50"/>
      <c r="D143" s="50"/>
      <c r="E143" s="50"/>
      <c r="F143" s="11"/>
      <c r="G143" s="11"/>
      <c r="H143" t="str" s="50" cm="1">
        <f t="array" ref="H143">'Bewegungen'!B114</f>
        <v>A008</v>
      </c>
      <c r="I143" t="str" s="51" cm="1">
        <f t="array" ref="I143">VLOOKUP(H143,'Stammdaten'!$A$2:$C$31,3,FALSE())</f>
        <v>Versand</v>
      </c>
    </row>
    <row r="144" ht="18.5" customHeight="1">
      <c r="A144" s="60"/>
      <c r="B144" s="50"/>
      <c r="C144" s="50"/>
      <c r="D144" s="50"/>
      <c r="E144" s="50"/>
      <c r="F144" s="11"/>
      <c r="G144" s="11"/>
      <c r="H144" t="str" s="50" cm="1">
        <f t="array" ref="H144">'Bewegungen'!B115</f>
        <v>A015</v>
      </c>
      <c r="I144" t="str" s="51" cm="1">
        <f t="array" ref="I144">VLOOKUP(H144,'Stammdaten'!$A$2:$C$31,3,FALSE())</f>
        <v>Reinigung</v>
      </c>
    </row>
    <row r="145" ht="18.5" customHeight="1">
      <c r="A145" s="60"/>
      <c r="B145" s="50"/>
      <c r="C145" s="50"/>
      <c r="D145" s="50"/>
      <c r="E145" s="50"/>
      <c r="F145" s="11"/>
      <c r="G145" s="11"/>
      <c r="H145" t="str" s="50" cm="1">
        <f t="array" ref="H145">'Bewegungen'!B116</f>
        <v>A023</v>
      </c>
      <c r="I145" t="str" s="51" cm="1">
        <f t="array" ref="I145">VLOOKUP(H145,'Stammdaten'!$A$2:$C$31,3,FALSE())</f>
        <v>Wartung</v>
      </c>
    </row>
    <row r="146" ht="18.5" customHeight="1">
      <c r="A146" s="60"/>
      <c r="B146" s="50"/>
      <c r="C146" s="50"/>
      <c r="D146" s="50"/>
      <c r="E146" s="50"/>
      <c r="F146" s="11"/>
      <c r="G146" s="11"/>
      <c r="H146" t="str" s="50" cm="1">
        <f t="array" ref="H146">'Bewegungen'!B117</f>
        <v>A030</v>
      </c>
      <c r="I146" t="str" s="51" cm="1">
        <f t="array" ref="I146">VLOOKUP(H146,'Stammdaten'!$A$2:$C$31,3,FALSE())</f>
        <v>Produktion</v>
      </c>
    </row>
    <row r="147" ht="18.5" customHeight="1">
      <c r="A147" s="60"/>
      <c r="B147" s="50"/>
      <c r="C147" s="50"/>
      <c r="D147" s="50"/>
      <c r="E147" s="50"/>
      <c r="F147" s="11"/>
      <c r="G147" s="11"/>
      <c r="H147" t="str" s="50" cm="1">
        <f t="array" ref="H147">'Bewegungen'!B118</f>
        <v>A023</v>
      </c>
      <c r="I147" t="str" s="51" cm="1">
        <f t="array" ref="I147">VLOOKUP(H147,'Stammdaten'!$A$2:$C$31,3,FALSE())</f>
        <v>Wartung</v>
      </c>
    </row>
    <row r="148" ht="18.5" customHeight="1">
      <c r="A148" s="60"/>
      <c r="B148" s="50"/>
      <c r="C148" s="50"/>
      <c r="D148" s="50"/>
      <c r="E148" s="50"/>
      <c r="F148" s="11"/>
      <c r="G148" s="11"/>
      <c r="H148" t="str" s="50" cm="1">
        <f t="array" ref="H148">'Bewegungen'!B119</f>
        <v>A004</v>
      </c>
      <c r="I148" t="str" s="51" cm="1">
        <f t="array" ref="I148">VLOOKUP(H148,'Stammdaten'!$A$2:$C$31,3,FALSE())</f>
        <v>Lager</v>
      </c>
    </row>
    <row r="149" ht="18.5" customHeight="1">
      <c r="A149" s="60"/>
      <c r="B149" s="50"/>
      <c r="C149" s="50"/>
      <c r="D149" s="50"/>
      <c r="E149" s="50"/>
      <c r="F149" s="11"/>
      <c r="G149" s="11"/>
      <c r="H149" t="str" s="50" cm="1">
        <f t="array" ref="H149">'Bewegungen'!B120</f>
        <v>A026</v>
      </c>
      <c r="I149" t="str" s="51" cm="1">
        <f t="array" ref="I149">VLOOKUP(H149,'Stammdaten'!$A$2:$C$31,3,FALSE())</f>
        <v>Produktion</v>
      </c>
    </row>
    <row r="150" ht="18.5" customHeight="1">
      <c r="A150" s="60"/>
      <c r="B150" s="50"/>
      <c r="C150" s="50"/>
      <c r="D150" s="50"/>
      <c r="E150" s="50"/>
      <c r="F150" s="11"/>
      <c r="G150" s="11"/>
      <c r="H150" t="str" s="50" cm="1">
        <f t="array" ref="H150">'Bewegungen'!B121</f>
        <v>A017</v>
      </c>
      <c r="I150" t="str" s="51" cm="1">
        <f t="array" ref="I150">VLOOKUP(H150,'Stammdaten'!$A$2:$C$31,3,FALSE())</f>
        <v>Reinigung</v>
      </c>
    </row>
    <row r="151" ht="18.5" customHeight="1">
      <c r="A151" s="60"/>
      <c r="B151" s="50"/>
      <c r="C151" s="50"/>
      <c r="D151" s="50"/>
      <c r="E151" s="50"/>
      <c r="F151" s="11"/>
      <c r="G151" s="11"/>
      <c r="H151" t="str" s="50" cm="1">
        <f t="array" ref="H151">'Bewegungen'!B122</f>
        <v>A014</v>
      </c>
      <c r="I151" t="str" s="51" cm="1">
        <f t="array" ref="I151">VLOOKUP(H151,'Stammdaten'!$A$2:$C$31,3,FALSE())</f>
        <v>Reinigung</v>
      </c>
    </row>
    <row r="152" ht="18.5" customHeight="1">
      <c r="A152" s="60"/>
      <c r="B152" s="50"/>
      <c r="C152" s="50"/>
      <c r="D152" s="50"/>
      <c r="E152" s="50"/>
      <c r="F152" s="11"/>
      <c r="G152" s="11"/>
      <c r="H152" t="str" s="50" cm="1">
        <f t="array" ref="H152">'Bewegungen'!B123</f>
        <v>A014</v>
      </c>
      <c r="I152" t="str" s="51" cm="1">
        <f t="array" ref="I152">VLOOKUP(H152,'Stammdaten'!$A$2:$C$31,3,FALSE())</f>
        <v>Reinigung</v>
      </c>
    </row>
    <row r="153" ht="18.5" customHeight="1">
      <c r="A153" s="60"/>
      <c r="B153" s="50"/>
      <c r="C153" s="50"/>
      <c r="D153" s="50"/>
      <c r="E153" s="50"/>
      <c r="F153" s="11"/>
      <c r="G153" s="11"/>
      <c r="H153" t="str" s="50" cm="1">
        <f t="array" ref="H153">'Bewegungen'!B124</f>
        <v>A026</v>
      </c>
      <c r="I153" t="str" s="51" cm="1">
        <f t="array" ref="I153">VLOOKUP(H153,'Stammdaten'!$A$2:$C$31,3,FALSE())</f>
        <v>Produktion</v>
      </c>
    </row>
    <row r="154" ht="18.5" customHeight="1">
      <c r="A154" s="60"/>
      <c r="B154" s="50"/>
      <c r="C154" s="50"/>
      <c r="D154" s="50"/>
      <c r="E154" s="50"/>
      <c r="F154" s="11"/>
      <c r="G154" s="11"/>
      <c r="H154" t="str" s="50" cm="1">
        <f t="array" ref="H154">'Bewegungen'!B125</f>
        <v>A009</v>
      </c>
      <c r="I154" t="str" s="51" cm="1">
        <f t="array" ref="I154">VLOOKUP(H154,'Stammdaten'!$A$2:$C$31,3,FALSE())</f>
        <v>Versand</v>
      </c>
    </row>
    <row r="155" ht="18.5" customHeight="1">
      <c r="A155" s="60"/>
      <c r="B155" s="50"/>
      <c r="C155" s="50"/>
      <c r="D155" s="50"/>
      <c r="E155" s="50"/>
      <c r="F155" s="11"/>
      <c r="G155" s="11"/>
      <c r="H155" t="str" s="50" cm="1">
        <f t="array" ref="H155">'Bewegungen'!B126</f>
        <v>A008</v>
      </c>
      <c r="I155" t="str" s="51" cm="1">
        <f t="array" ref="I155">VLOOKUP(H155,'Stammdaten'!$A$2:$C$31,3,FALSE())</f>
        <v>Versand</v>
      </c>
    </row>
    <row r="156" ht="18.5" customHeight="1">
      <c r="A156" s="60"/>
      <c r="B156" s="50"/>
      <c r="C156" s="50"/>
      <c r="D156" s="50"/>
      <c r="E156" s="50"/>
      <c r="F156" s="11"/>
      <c r="G156" s="11"/>
      <c r="H156" t="str" s="50" cm="1">
        <f t="array" ref="H156">'Bewegungen'!B127</f>
        <v>A016</v>
      </c>
      <c r="I156" t="str" s="51" cm="1">
        <f t="array" ref="I156">VLOOKUP(H156,'Stammdaten'!$A$2:$C$31,3,FALSE())</f>
        <v>Reinigung</v>
      </c>
    </row>
    <row r="157" ht="18.5" customHeight="1">
      <c r="A157" s="60"/>
      <c r="B157" s="50"/>
      <c r="C157" s="50"/>
      <c r="D157" s="50"/>
      <c r="E157" s="50"/>
      <c r="F157" s="11"/>
      <c r="G157" s="11"/>
      <c r="H157" t="str" s="50" cm="1">
        <f t="array" ref="H157">'Bewegungen'!B128</f>
        <v>A011</v>
      </c>
      <c r="I157" t="str" s="51" cm="1">
        <f t="array" ref="I157">VLOOKUP(H157,'Stammdaten'!$A$2:$C$31,3,FALSE())</f>
        <v>Versand</v>
      </c>
    </row>
    <row r="158" ht="18.5" customHeight="1">
      <c r="A158" s="60"/>
      <c r="B158" s="50"/>
      <c r="C158" s="50"/>
      <c r="D158" s="50"/>
      <c r="E158" s="50"/>
      <c r="F158" s="11"/>
      <c r="G158" s="11"/>
      <c r="H158" t="str" s="50" cm="1">
        <f t="array" ref="H158">'Bewegungen'!B129</f>
        <v>A017</v>
      </c>
      <c r="I158" t="str" s="51" cm="1">
        <f t="array" ref="I158">VLOOKUP(H158,'Stammdaten'!$A$2:$C$31,3,FALSE())</f>
        <v>Reinigung</v>
      </c>
    </row>
    <row r="159" ht="18.5" customHeight="1">
      <c r="A159" s="60"/>
      <c r="B159" s="50"/>
      <c r="C159" s="50"/>
      <c r="D159" s="50"/>
      <c r="E159" s="50"/>
      <c r="F159" s="11"/>
      <c r="G159" s="11"/>
      <c r="H159" t="str" s="50" cm="1">
        <f t="array" ref="H159">'Bewegungen'!B130</f>
        <v>A025</v>
      </c>
      <c r="I159" t="str" s="51" cm="1">
        <f t="array" ref="I159">VLOOKUP(H159,'Stammdaten'!$A$2:$C$31,3,FALSE())</f>
        <v>Produktion</v>
      </c>
    </row>
    <row r="160" ht="18.5" customHeight="1">
      <c r="A160" s="60"/>
      <c r="B160" s="50"/>
      <c r="C160" s="50"/>
      <c r="D160" s="50"/>
      <c r="E160" s="50"/>
      <c r="F160" s="11"/>
      <c r="G160" s="11"/>
      <c r="H160" t="str" s="50" cm="1">
        <f t="array" ref="H160">'Bewegungen'!B131</f>
        <v>A026</v>
      </c>
      <c r="I160" t="str" s="51" cm="1">
        <f t="array" ref="I160">VLOOKUP(H160,'Stammdaten'!$A$2:$C$31,3,FALSE())</f>
        <v>Produktion</v>
      </c>
    </row>
    <row r="161" ht="18.5" customHeight="1">
      <c r="A161" s="60"/>
      <c r="B161" s="50"/>
      <c r="C161" s="50"/>
      <c r="D161" s="50"/>
      <c r="E161" s="50"/>
      <c r="F161" s="11"/>
      <c r="G161" s="11"/>
      <c r="H161" t="str" s="50" cm="1">
        <f t="array" ref="H161">'Bewegungen'!B132</f>
        <v>A010</v>
      </c>
      <c r="I161" t="str" s="51" cm="1">
        <f t="array" ref="I161">VLOOKUP(H161,'Stammdaten'!$A$2:$C$31,3,FALSE())</f>
        <v>Versand</v>
      </c>
    </row>
    <row r="162" ht="18.5" customHeight="1">
      <c r="A162" s="60"/>
      <c r="B162" s="50"/>
      <c r="C162" s="50"/>
      <c r="D162" s="50"/>
      <c r="E162" s="50"/>
      <c r="F162" s="11"/>
      <c r="G162" s="11"/>
      <c r="H162" t="str" s="50" cm="1">
        <f t="array" ref="H162">'Bewegungen'!B133</f>
        <v>A024</v>
      </c>
      <c r="I162" t="str" s="51" cm="1">
        <f t="array" ref="I162">VLOOKUP(H162,'Stammdaten'!$A$2:$C$31,3,FALSE())</f>
        <v>Wartung</v>
      </c>
    </row>
    <row r="163" ht="18.5" customHeight="1">
      <c r="A163" s="60"/>
      <c r="B163" s="50"/>
      <c r="C163" s="50"/>
      <c r="D163" s="50"/>
      <c r="E163" s="50"/>
      <c r="F163" s="11"/>
      <c r="G163" s="11"/>
      <c r="H163" t="str" s="50" cm="1">
        <f t="array" ref="H163">'Bewegungen'!B134</f>
        <v>A009</v>
      </c>
      <c r="I163" t="str" s="51" cm="1">
        <f t="array" ref="I163">VLOOKUP(H163,'Stammdaten'!$A$2:$C$31,3,FALSE())</f>
        <v>Versand</v>
      </c>
    </row>
    <row r="164" ht="18.5" customHeight="1">
      <c r="A164" s="60"/>
      <c r="B164" s="50"/>
      <c r="C164" s="50"/>
      <c r="D164" s="50"/>
      <c r="E164" s="50"/>
      <c r="F164" s="11"/>
      <c r="G164" s="11"/>
      <c r="H164" t="str" s="50" cm="1">
        <f t="array" ref="H164">'Bewegungen'!B135</f>
        <v>A018</v>
      </c>
      <c r="I164" t="str" s="51" cm="1">
        <f t="array" ref="I164">VLOOKUP(H164,'Stammdaten'!$A$2:$C$31,3,FALSE())</f>
        <v>Reinigung</v>
      </c>
    </row>
    <row r="165" ht="18.5" customHeight="1">
      <c r="A165" s="60"/>
      <c r="B165" s="50"/>
      <c r="C165" s="50"/>
      <c r="D165" s="50"/>
      <c r="E165" s="50"/>
      <c r="F165" s="11"/>
      <c r="G165" s="11"/>
      <c r="H165" t="str" s="50" cm="1">
        <f t="array" ref="H165">'Bewegungen'!B136</f>
        <v>A019</v>
      </c>
      <c r="I165" t="str" s="51" cm="1">
        <f t="array" ref="I165">VLOOKUP(H165,'Stammdaten'!$A$2:$C$31,3,FALSE())</f>
        <v>Wartung</v>
      </c>
    </row>
    <row r="166" ht="18.5" customHeight="1">
      <c r="A166" s="60"/>
      <c r="B166" s="50"/>
      <c r="C166" s="50"/>
      <c r="D166" s="50"/>
      <c r="E166" s="50"/>
      <c r="F166" s="11"/>
      <c r="G166" s="11"/>
      <c r="H166" t="str" s="50" cm="1">
        <f t="array" ref="H166">'Bewegungen'!B137</f>
        <v>A010</v>
      </c>
      <c r="I166" t="str" s="51" cm="1">
        <f t="array" ref="I166">VLOOKUP(H166,'Stammdaten'!$A$2:$C$31,3,FALSE())</f>
        <v>Versand</v>
      </c>
    </row>
    <row r="167" ht="18.5" customHeight="1">
      <c r="A167" s="60"/>
      <c r="B167" s="50"/>
      <c r="C167" s="50"/>
      <c r="D167" s="50"/>
      <c r="E167" s="50"/>
      <c r="F167" s="11"/>
      <c r="G167" s="11"/>
      <c r="H167" t="str" s="50" cm="1">
        <f t="array" ref="H167">'Bewegungen'!B138</f>
        <v>A005</v>
      </c>
      <c r="I167" t="str" s="51" cm="1">
        <f t="array" ref="I167">VLOOKUP(H167,'Stammdaten'!$A$2:$C$31,3,FALSE())</f>
        <v>Lager</v>
      </c>
    </row>
    <row r="168" ht="18.5" customHeight="1">
      <c r="A168" s="60"/>
      <c r="B168" s="50"/>
      <c r="C168" s="50"/>
      <c r="D168" s="50"/>
      <c r="E168" s="50"/>
      <c r="F168" s="11"/>
      <c r="G168" s="11"/>
      <c r="H168" t="str" s="50" cm="1">
        <f t="array" ref="H168">'Bewegungen'!B139</f>
        <v>A005</v>
      </c>
      <c r="I168" t="str" s="51" cm="1">
        <f t="array" ref="I168">VLOOKUP(H168,'Stammdaten'!$A$2:$C$31,3,FALSE())</f>
        <v>Lager</v>
      </c>
    </row>
    <row r="169" ht="18.5" customHeight="1">
      <c r="A169" s="60"/>
      <c r="B169" s="50"/>
      <c r="C169" s="50"/>
      <c r="D169" s="50"/>
      <c r="E169" s="50"/>
      <c r="F169" s="11"/>
      <c r="G169" s="11"/>
      <c r="H169" t="str" s="50" cm="1">
        <f t="array" ref="H169">'Bewegungen'!B140</f>
        <v>A016</v>
      </c>
      <c r="I169" t="str" s="51" cm="1">
        <f t="array" ref="I169">VLOOKUP(H169,'Stammdaten'!$A$2:$C$31,3,FALSE())</f>
        <v>Reinigung</v>
      </c>
    </row>
    <row r="170" ht="18.5" customHeight="1">
      <c r="A170" s="60"/>
      <c r="B170" s="50"/>
      <c r="C170" s="50"/>
      <c r="D170" s="50"/>
      <c r="E170" s="50"/>
      <c r="F170" s="11"/>
      <c r="G170" s="11"/>
      <c r="H170" t="str" s="50" cm="1">
        <f t="array" ref="H170">'Bewegungen'!B141</f>
        <v>A004</v>
      </c>
      <c r="I170" t="str" s="51" cm="1">
        <f t="array" ref="I170">VLOOKUP(H170,'Stammdaten'!$A$2:$C$31,3,FALSE())</f>
        <v>Lager</v>
      </c>
    </row>
    <row r="171" ht="18.5" customHeight="1">
      <c r="A171" s="60"/>
      <c r="B171" s="50"/>
      <c r="C171" s="50"/>
      <c r="D171" s="50"/>
      <c r="E171" s="50"/>
      <c r="F171" s="11"/>
      <c r="G171" s="11"/>
      <c r="H171" t="str" s="50" cm="1">
        <f t="array" ref="H171">'Bewegungen'!B142</f>
        <v>A002</v>
      </c>
      <c r="I171" t="str" s="51" cm="1">
        <f t="array" ref="I171">VLOOKUP(H171,'Stammdaten'!$A$2:$C$31,3,FALSE())</f>
        <v>Lager</v>
      </c>
    </row>
    <row r="172" ht="18.5" customHeight="1">
      <c r="A172" s="60"/>
      <c r="B172" s="50"/>
      <c r="C172" s="50"/>
      <c r="D172" s="50"/>
      <c r="E172" s="50"/>
      <c r="F172" s="11"/>
      <c r="G172" s="11"/>
      <c r="H172" t="str" s="50" cm="1">
        <f t="array" ref="H172">'Bewegungen'!B143</f>
        <v>A008</v>
      </c>
      <c r="I172" t="str" s="51" cm="1">
        <f t="array" ref="I172">VLOOKUP(H172,'Stammdaten'!$A$2:$C$31,3,FALSE())</f>
        <v>Versand</v>
      </c>
    </row>
    <row r="173" ht="18.5" customHeight="1">
      <c r="A173" s="60"/>
      <c r="B173" s="50"/>
      <c r="C173" s="50"/>
      <c r="D173" s="50"/>
      <c r="E173" s="50"/>
      <c r="F173" s="11"/>
      <c r="G173" s="11"/>
      <c r="H173" t="str" s="50" cm="1">
        <f t="array" ref="H173">'Bewegungen'!B144</f>
        <v>A008</v>
      </c>
      <c r="I173" t="str" s="51" cm="1">
        <f t="array" ref="I173">VLOOKUP(H173,'Stammdaten'!$A$2:$C$31,3,FALSE())</f>
        <v>Versand</v>
      </c>
    </row>
    <row r="174" ht="18.5" customHeight="1">
      <c r="A174" s="60"/>
      <c r="B174" s="50"/>
      <c r="C174" s="50"/>
      <c r="D174" s="50"/>
      <c r="E174" s="50"/>
      <c r="F174" s="11"/>
      <c r="G174" s="11"/>
      <c r="H174" t="str" s="50" cm="1">
        <f t="array" ref="H174">'Bewegungen'!B145</f>
        <v>A014</v>
      </c>
      <c r="I174" t="str" s="51" cm="1">
        <f t="array" ref="I174">VLOOKUP(H174,'Stammdaten'!$A$2:$C$31,3,FALSE())</f>
        <v>Reinigung</v>
      </c>
    </row>
    <row r="175" ht="18.5" customHeight="1">
      <c r="A175" s="60"/>
      <c r="B175" s="50"/>
      <c r="C175" s="50"/>
      <c r="D175" s="50"/>
      <c r="E175" s="50"/>
      <c r="F175" s="11"/>
      <c r="G175" s="11"/>
      <c r="H175" t="str" s="50" cm="1">
        <f t="array" ref="H175">'Bewegungen'!B146</f>
        <v>A004</v>
      </c>
      <c r="I175" t="str" s="51" cm="1">
        <f t="array" ref="I175">VLOOKUP(H175,'Stammdaten'!$A$2:$C$31,3,FALSE())</f>
        <v>Lager</v>
      </c>
    </row>
    <row r="176" ht="18.5" customHeight="1">
      <c r="A176" s="60"/>
      <c r="B176" s="50"/>
      <c r="C176" s="50"/>
      <c r="D176" s="50"/>
      <c r="E176" s="50"/>
      <c r="F176" s="11"/>
      <c r="G176" s="11"/>
      <c r="H176" t="str" s="50" cm="1">
        <f t="array" ref="H176">'Bewegungen'!B147</f>
        <v>A008</v>
      </c>
      <c r="I176" t="str" s="51" cm="1">
        <f t="array" ref="I176">VLOOKUP(H176,'Stammdaten'!$A$2:$C$31,3,FALSE())</f>
        <v>Versand</v>
      </c>
    </row>
    <row r="177" ht="18.5" customHeight="1">
      <c r="A177" s="60"/>
      <c r="B177" s="50"/>
      <c r="C177" s="50"/>
      <c r="D177" s="50"/>
      <c r="E177" s="50"/>
      <c r="F177" s="11"/>
      <c r="G177" s="11"/>
      <c r="H177" t="str" s="50" cm="1">
        <f t="array" ref="H177">'Bewegungen'!B148</f>
        <v>A023</v>
      </c>
      <c r="I177" t="str" s="51" cm="1">
        <f t="array" ref="I177">VLOOKUP(H177,'Stammdaten'!$A$2:$C$31,3,FALSE())</f>
        <v>Wartung</v>
      </c>
    </row>
    <row r="178" ht="18.5" customHeight="1">
      <c r="A178" s="60"/>
      <c r="B178" s="50"/>
      <c r="C178" s="50"/>
      <c r="D178" s="50"/>
      <c r="E178" s="50"/>
      <c r="F178" s="11"/>
      <c r="G178" s="11"/>
      <c r="H178" t="str" s="50" cm="1">
        <f t="array" ref="H178">'Bewegungen'!B149</f>
        <v>A010</v>
      </c>
      <c r="I178" t="str" s="51" cm="1">
        <f t="array" ref="I178">VLOOKUP(H178,'Stammdaten'!$A$2:$C$31,3,FALSE())</f>
        <v>Versand</v>
      </c>
    </row>
    <row r="179" ht="18.5" customHeight="1">
      <c r="A179" s="60"/>
      <c r="B179" s="50"/>
      <c r="C179" s="50"/>
      <c r="D179" s="50"/>
      <c r="E179" s="50"/>
      <c r="F179" s="11"/>
      <c r="G179" s="11"/>
      <c r="H179" t="str" s="50" cm="1">
        <f t="array" ref="H179">'Bewegungen'!B150</f>
        <v>A019</v>
      </c>
      <c r="I179" t="str" s="51" cm="1">
        <f t="array" ref="I179">VLOOKUP(H179,'Stammdaten'!$A$2:$C$31,3,FALSE())</f>
        <v>Wartung</v>
      </c>
    </row>
    <row r="180" ht="18.5" customHeight="1">
      <c r="A180" s="64"/>
      <c r="B180" s="65"/>
      <c r="C180" s="65"/>
      <c r="D180" s="65"/>
      <c r="E180" s="65"/>
      <c r="F180" s="16"/>
      <c r="G180" s="16"/>
      <c r="H180" t="str" s="65" cm="1">
        <f t="array" ref="H180">'Bewegungen'!B151</f>
        <v>A030</v>
      </c>
      <c r="I180" t="str" s="66" cm="1">
        <f t="array" ref="I180">VLOOKUP(H180,'Stammdaten'!$A$2:$C$31,3,FALSE())</f>
        <v>Produktion</v>
      </c>
    </row>
  </sheetData>
  <mergeCells count="1">
    <mergeCell ref="A1:E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